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d master" sheetId="1" r:id="rId5"/>
    <sheet state="visible" name="TATA AIA fund to product map" sheetId="2" r:id="rId6"/>
    <sheet state="visible" name="icici fund to product map" sheetId="3" r:id="rId7"/>
    <sheet state="visible" name="HDFC fund to product map" sheetId="4" r:id="rId8"/>
  </sheets>
  <definedNames>
    <definedName hidden="1" localSheetId="0" name="_xlnm._FilterDatabase">'fund master'!$A$1:$Z$999</definedName>
    <definedName hidden="1" localSheetId="1" name="_xlnm._FilterDatabase">'TATA AIA fund to product map'!$A$1:$Z$1000</definedName>
  </definedNames>
  <calcPr/>
</workbook>
</file>

<file path=xl/sharedStrings.xml><?xml version="1.0" encoding="utf-8"?>
<sst xmlns="http://schemas.openxmlformats.org/spreadsheetml/2006/main" count="6313" uniqueCount="569">
  <si>
    <t>Insurer Name</t>
  </si>
  <si>
    <t>Fund Name</t>
  </si>
  <si>
    <t>Objective</t>
  </si>
  <si>
    <t>SFIN</t>
  </si>
  <si>
    <t>Category</t>
  </si>
  <si>
    <t>Potential Risk</t>
  </si>
  <si>
    <t>Latest NAV</t>
  </si>
  <si>
    <t>NAV Date</t>
  </si>
  <si>
    <t>Fund Status</t>
  </si>
  <si>
    <t>Source URL</t>
  </si>
  <si>
    <t>Source Type</t>
  </si>
  <si>
    <t>Confidence Level</t>
  </si>
  <si>
    <t>Validation Status</t>
  </si>
  <si>
    <t>Remarks</t>
  </si>
  <si>
    <t>ICICI Prudential</t>
  </si>
  <si>
    <t>Focus 50 Fund</t>
  </si>
  <si>
    <t>To provide long-term capital appreciation from equity portfolio invested predominantly in top 50 stocks.</t>
  </si>
  <si>
    <t>ULIF 142 04/02/19 FocusFifty 105</t>
  </si>
  <si>
    <t>Equity</t>
  </si>
  <si>
    <t>High</t>
  </si>
  <si>
    <t>Active</t>
  </si>
  <si>
    <t>https://www.iciciprulife.com/ulip-plans/unit-linked-insurance-plans/buy-icici-pru-smart-insurance-plan-plus.html</t>
  </si>
  <si>
    <t>Official</t>
  </si>
  <si>
    <t>Verified</t>
  </si>
  <si>
    <t>India Growth Fund</t>
  </si>
  <si>
    <t>To generate superior long-term capital appreciation by investing at least 80% in a diversified portfolio of equity and equity related securities of companies whose growth is propelled by India's rising power in domestic consumption and services sectors such as Automobiles, Retail, Information Technology, Services and Energy.</t>
  </si>
  <si>
    <t>ULIF 141 04/02/19 IndiaGrwth 105</t>
  </si>
  <si>
    <t>Maximiser V</t>
  </si>
  <si>
    <t>To achieve long-term capital appreciation through investments primarily in equity and equity-related instruments of large and mid cap stocks.</t>
  </si>
  <si>
    <t>ULIF 114 15/03/11 LMaximis5 105</t>
  </si>
  <si>
    <t>Multi Cap Growth Fund</t>
  </si>
  <si>
    <t>To generate superior long-term returns from a diversified portfolio of equity and equity related instruments of large, mid and small cap companies.</t>
  </si>
  <si>
    <t>ULIF 085 24/11/09 LMCapGro 105</t>
  </si>
  <si>
    <t>Bluechip Fund</t>
  </si>
  <si>
    <t>To provide long-term capital appreciation from equity portfolio predominantly invested in large cap stocks.</t>
  </si>
  <si>
    <t>ULIF 087 24/11/09 LBluChip 105</t>
  </si>
  <si>
    <t>Opportunities Fund</t>
  </si>
  <si>
    <t>To generate superior long-term returns from a diversified portfolio of equity and equity related instruments of companies operating in four important types of industries viz., Resources, Investment-related, Consumption-related and Human Capital leveraged industries.</t>
  </si>
  <si>
    <t>ULIF 086 24/11/09 LOpport 105</t>
  </si>
  <si>
    <t>Maximise India Fund</t>
  </si>
  <si>
    <t>To offer long term wealth maximization by managing a diversified equity portfolio, predominantly comprising of companies in NIFTY 50 &amp; NIFTY Junior indices.</t>
  </si>
  <si>
    <t>ULIF 136 11/20/14 MIF 105</t>
  </si>
  <si>
    <t>Value Enhancer Fund</t>
  </si>
  <si>
    <t>To achieve long-term capital appreciation through investments primarily in equity and equity-related instruments in sectors that are emerging or witnessing an inflection in growth trajectory.</t>
  </si>
  <si>
    <t>ULIF 139 24/11/17 VEF 105</t>
  </si>
  <si>
    <t>Multi Cap Balanced Fund</t>
  </si>
  <si>
    <t>To achieve a balance between capital appreciation and stable returns by investing in a mix of equity and equity related instruments of large, mid and small cap companies and debt and debt related instruments.</t>
  </si>
  <si>
    <t>ULIF 088 24/11/09 LMCapBal 105</t>
  </si>
  <si>
    <t>Balanced</t>
  </si>
  <si>
    <t>Moderate</t>
  </si>
  <si>
    <t>Active Asset Allocation Balanced Fund</t>
  </si>
  <si>
    <t>To provide capital appreciation by investing in a suitable mix of cash, debt and equities. The investment strategy will involve a flexible policy for allocating assets among equities, bond and cash.</t>
  </si>
  <si>
    <t>ULIF 138 15/02/17 AAABF 105</t>
  </si>
  <si>
    <t>Secure Opportunities Fund</t>
  </si>
  <si>
    <t>To provide accumulation of income through investment in various fixed income securities. The fund seeks to provide capital appreciation while maintaining a suitable balance between return, safety and liquidity.</t>
  </si>
  <si>
    <t>ULIF 140 24/11/17 SOF 105</t>
  </si>
  <si>
    <t>Debt</t>
  </si>
  <si>
    <t>Low</t>
  </si>
  <si>
    <t>Income Fund</t>
  </si>
  <si>
    <t>ULIF 089 24/11/09 LIncome 105</t>
  </si>
  <si>
    <t>Money Market Fund</t>
  </si>
  <si>
    <t>To provide suitable returns through low risk investments in debt and money market instruments while attempting to protect the capital deployed in the fund.</t>
  </si>
  <si>
    <t>ULIF 090 24/11/09 LMoneyMkt 105</t>
  </si>
  <si>
    <t>Mid Cap Hybrid Growth Fund</t>
  </si>
  <si>
    <t>To generate superior risk-adjusted returns by investing in a combination of mid cap stocks (forming part of the Midcap Index) and highly rated bond instruments.</t>
  </si>
  <si>
    <t>ULIF 147 050123 MCHybrdGrt 105</t>
  </si>
  <si>
    <t>Sustainable Equity Fund</t>
  </si>
  <si>
    <t>To focus on investing in select companies from the investment universe, which conduct business in a socially and environmentally responsible manner while maintaining governance standards.</t>
  </si>
  <si>
    <t>ULIF 145 03/06/21 SustainEqu 105</t>
  </si>
  <si>
    <t>Mid Cap Fund</t>
  </si>
  <si>
    <t>To generate superior long term returns by investing in mid cap stocks, predominantly those forming part of the Midcap Index.</t>
  </si>
  <si>
    <t>ULIF 146 28/06/22 MidCapFund 105</t>
  </si>
  <si>
    <t>Balanced Advantage Fund</t>
  </si>
  <si>
    <t>To generate superior long-term returns from a diversified portfolio of equity and debt securities. The equity allocation is changed dynamically based on market conditions and relative attractiveness versus other asset classes.</t>
  </si>
  <si>
    <t>ULIF 144 03/06/21 BalanceAdv 105</t>
  </si>
  <si>
    <t>Constant Maturity Fund</t>
  </si>
  <si>
    <t>To provide accumulation of income through investments in debt instruments, predominantly in bonds issued by central, state governments and corporate bonds such that average maturity of the portfolio is 10 years.</t>
  </si>
  <si>
    <t>ULIF 148 050123 ConstntMat 105</t>
  </si>
  <si>
    <t>Mid Cap Index Fund</t>
  </si>
  <si>
    <t>To generate superior long term returns by investing in companies specifically forming a part of Nifty Midcap 150 Index.</t>
  </si>
  <si>
    <t>ULIF 149 050723 McIndxFund 105</t>
  </si>
  <si>
    <t>Mid Cap 150 Momentum 50 Index Fund</t>
  </si>
  <si>
    <t>To generate superior long term returns by investing in the mid-cap companies forming a part of NIFTY MidCap 150 Momentum 50 Index, subject to regulatory limits.</t>
  </si>
  <si>
    <t>ULIF 151 180124 McMomentum 105</t>
  </si>
  <si>
    <t>Multicap 50 25 25 Index Fund</t>
  </si>
  <si>
    <t>To generate superior long term returns by investing in companies specifically forming a part of Nifty 500 Multicap 50:25:25 Index, subject to regulatory limits.</t>
  </si>
  <si>
    <t>ULIF 152 220224 MultiCapIF 105</t>
  </si>
  <si>
    <t>MidSmall Cap 400 Index Fund</t>
  </si>
  <si>
    <t>To generate superior long term returns by investing in companies specifically forming a part of NIFTY MidSmall 400 Cap Index, subject to regulatory limits.</t>
  </si>
  <si>
    <t>ULIF 153 150424 MidSmal400 105</t>
  </si>
  <si>
    <t>MidSmallCap 400 Momentum Quality 100 Index Fund</t>
  </si>
  <si>
    <t>To generate superior long-term returns by investing in the mid-cap and small-cap companies forming a part of Nifty MidSmallCap 400 Momentum Quality 100 Index, subject to regulatory limits.</t>
  </si>
  <si>
    <t>ULIF 156 251024 MscMomQual 105</t>
  </si>
  <si>
    <t>Smallcap 250 Momentum Quality 100 Index Fund</t>
  </si>
  <si>
    <t>To generate superior long-term returns by investing in the small-cap companies forming a part of Nifty Smallcap 250 Momentum Quality 100 Index, subject to regulatory limits.</t>
  </si>
  <si>
    <t>ULIF 157 301224 SmcMomQual 105</t>
  </si>
  <si>
    <t>India Consumption Fund</t>
  </si>
  <si>
    <t>To generate superior long-term returns by investing in a diversified portfolio of companies that are likely to benefit from India's growing domestic consumption story.</t>
  </si>
  <si>
    <t>ULIF 158 170425 IndConsump 105</t>
  </si>
  <si>
    <t>Nifty Alpha 50 Index Fund</t>
  </si>
  <si>
    <t>To generate superior long term returns by investing in companies specifically forming a part of Nifty Alpha 50 Index, subject to regulatory limits.</t>
  </si>
  <si>
    <t>ULIF 160 290725 AlphaIndIF 105</t>
  </si>
  <si>
    <t>BSE 500 Enhanced Value 50 Index Fund</t>
  </si>
  <si>
    <t>To generate superior long-term returns by investing in companies specifically forming a part of BSE 500 Enhanced Value 50 Index, subject to regulatory limits.</t>
  </si>
  <si>
    <t>ULIF 161 091025 EnhancedVF 105</t>
  </si>
  <si>
    <t>Sector Leaders Index Fund</t>
  </si>
  <si>
    <t>To generate superior long-term returns by investing in companies specifically forming a part of BSE India Sector Leaders Index, subject to regulatory limits.</t>
  </si>
  <si>
    <t>ULIF 162 251125 SecLeaders 105</t>
  </si>
  <si>
    <t>Dividend Leaders 50 Index Fund</t>
  </si>
  <si>
    <t>To generate superior long-term capital appreciation by investing in equities forming a part of ICICI Pru BSE500 Dividend Leaders 50 Index.</t>
  </si>
  <si>
    <t>ULIF 163 300126 DivLeaders 105</t>
  </si>
  <si>
    <t>Smallcap 250 Index Fund</t>
  </si>
  <si>
    <t>To generate superior long-term returns by investing in companies specifically forming a part of Nifty Smallcap 250 Index, subject to regulatory limits.</t>
  </si>
  <si>
    <t>ULIF 164 270226 Smallcp250 105</t>
  </si>
  <si>
    <t>Large &amp; Mid Cap Advantage Fund</t>
  </si>
  <si>
    <t>To generate superior long-term returns from a diversified portfolio of equity and equity related securities of predominantly large-cap and mid-cap companies.</t>
  </si>
  <si>
    <t>ULIF 166 020626 LMidcapAdv 105</t>
  </si>
  <si>
    <t>BSE Enhanced Value 30 Index Fund</t>
  </si>
  <si>
    <t>To generate superior long-term capital appreciation by investing in equities forming a part of ICICI Pru BSE Enhanced Value Index.</t>
  </si>
  <si>
    <t>ULIF 165 210426 EnhancVF30 105</t>
  </si>
  <si>
    <t>Secure Income Fund</t>
  </si>
  <si>
    <t>ULIF 167 020626 Securelncm 105</t>
  </si>
  <si>
    <t>https://www.iciciprulife.com/ulip-plans/unit-linked-insurance-plans/buy-icici-pru-ulip-signature-secure.html</t>
  </si>
  <si>
    <t>Pension Multi Growth Fund</t>
  </si>
  <si>
    <t>ULIF 091 11/01/10 PMCapGro 105</t>
  </si>
  <si>
    <t>https://www.iciciprulife.com/retirement-pension-plans/icici-pru-signature-pension-plan.html</t>
  </si>
  <si>
    <t>Pension Opportunities Fund</t>
  </si>
  <si>
    <t>ULIF 092 11/01/10 POpport 105</t>
  </si>
  <si>
    <t>Pension Bluechip Fund</t>
  </si>
  <si>
    <t>ULIF 093 11/01/10 PBluChip 105</t>
  </si>
  <si>
    <t xml:space="preserve">Pension India Growth Fund </t>
  </si>
  <si>
    <t>To generate superior long-term capital appreciation by investing at least 90% in a diversified portfolio of equity and equity related securities of companies whose growth is propelled by India s rising power in domestic consumption, investment and services sectors such as Manufacturing, Automobiles, Retail, Information Technology, Services and Energy</t>
  </si>
  <si>
    <t>ULIF 154 260624 PenIndGrwt 105</t>
  </si>
  <si>
    <t>Pension India Consumption Fund</t>
  </si>
  <si>
    <t>To generate superior long-term returns by investing in a diversified portfolio of companies that are likely to benefit from India's growing domestic consumption story. This fund offers a unique investment opportunity, leveraging on the rising consumption power in India.</t>
  </si>
  <si>
    <t>ULIF 159 190625 PenIndCons 105</t>
  </si>
  <si>
    <t>Pension Balance Fund</t>
  </si>
  <si>
    <t>To generate superior risk-adjusted returns by investing in a combination of equity and equity related instruments, and highly rated fixed income instruments</t>
  </si>
  <si>
    <t>ULIF 155 260624 PensionBal 105</t>
  </si>
  <si>
    <t>Pension Multi Cap Balanced Fund</t>
  </si>
  <si>
    <t>ULIF 094 11/01/10 PMCapBal 105</t>
  </si>
  <si>
    <t>Pension Income Fund</t>
  </si>
  <si>
    <t>To provide accumulation of income through investment in various fixed income securities. The Fund seeks to provide capital appreciation while maintaining a suitable balance between return, safety and liquidity.</t>
  </si>
  <si>
    <t>ULIF 095 11/01/10 PIncome 105</t>
  </si>
  <si>
    <t>Pension Money Market Fund</t>
  </si>
  <si>
    <t>To provide suitable returns through low risk investments in debt and money market instruments while attempting to protect the capital deployed in the Fund.</t>
  </si>
  <si>
    <t>ULIF 096 11/01/10 PMoneyMkt 105</t>
  </si>
  <si>
    <t>"To provide accumulation of income through
investment in various fixed income securities.
The fund seeks to maintain a suitable balance
between return, safety and liquidity"</t>
  </si>
  <si>
    <t>ULIF 167 020626 SecureIncm 105</t>
  </si>
  <si>
    <t>https://www.iciciprulife.com/fund-performance/product-wise-fund-performance-details.html</t>
  </si>
  <si>
    <t>HDFC</t>
  </si>
  <si>
    <t>Diversified Equity Fund</t>
  </si>
  <si>
    <t>To generate long term capital appreciation by investing in high potential companies across the market cap spectrum.</t>
  </si>
  <si>
    <t>ULIF05501/08/13DivrEqtyFd101</t>
  </si>
  <si>
    <t>Very High</t>
  </si>
  <si>
    <t>Blue Chip Fund</t>
  </si>
  <si>
    <t>Exposure to large-cap equities &amp; equity related instruments.</t>
  </si>
  <si>
    <t>ULIF03501/01/10BlueChipFd101</t>
  </si>
  <si>
    <t>Balanced Fund</t>
  </si>
  <si>
    <t>Dynamic equity exposure to enhance returns while debt allocation reduces volatility of returns.</t>
  </si>
  <si>
    <t>ULIF03901/09/10BalancedFd101</t>
  </si>
  <si>
    <t>Moderate to High</t>
  </si>
  <si>
    <t>Bond Fund</t>
  </si>
  <si>
    <t>Active allocation across all fixed income instruments.</t>
  </si>
  <si>
    <t>ULIF05601/08/13BondFunds101</t>
  </si>
  <si>
    <t>Discovery Fund</t>
  </si>
  <si>
    <t>Long term capital growth by investing predominantly in mid-cap companies. The fund may invest up to 25% outside the mid-cap index. Up to 10% may be invested in fixed income instruments, money market instruments, cash, deposits and liquid mutual funds.</t>
  </si>
  <si>
    <t>ULIF06618/01/18DiscvryFnd101</t>
  </si>
  <si>
    <t>Equity Advantage Fund</t>
  </si>
  <si>
    <t>Long term capital growth through diversified investments in companies across the market capitalization spectrum. Up to 20% may be invested in fixed income instruments, money market instruments, cash, deposits and liquid mutual funds.</t>
  </si>
  <si>
    <t>ULIF06723/03/18EqtyAdvtFd101</t>
  </si>
  <si>
    <t>Exposure to mid-cap equities &amp; equity related instruments.</t>
  </si>
  <si>
    <t>ULIF03601/01/10OpprtntyFd101</t>
  </si>
  <si>
    <t>Liquid Fund</t>
  </si>
  <si>
    <t>Invests 100% in bank deposits and high-quality short-term money market instruments.</t>
  </si>
  <si>
    <t>ULIF00102/01/04LiquidFund101</t>
  </si>
  <si>
    <t>Very Low</t>
  </si>
  <si>
    <t>Bond Plus Fund</t>
  </si>
  <si>
    <t>Steady returns from interest accruals from high grade bonds and moderate duration risk, enhanced with exposure to equity securities, instruments and investment trusts.</t>
  </si>
  <si>
    <t>ULIF06814/06/19BondPlusFd101</t>
  </si>
  <si>
    <t>Secure Advantage Fund</t>
  </si>
  <si>
    <t>Steady returns from higher interest accruals from high grade bonds.</t>
  </si>
  <si>
    <t>ULIF06914/06/19SecAdvFund101</t>
  </si>
  <si>
    <t>Long term capital appreciation through investment in companies across market capitalization that conduct business in a socially and environmentally responsible manner while maintaining governance standards.</t>
  </si>
  <si>
    <t>ULIF07019/07/21SustnblEqF101</t>
  </si>
  <si>
    <t>Flexi Cap Fund</t>
  </si>
  <si>
    <t>To generate superior long-term returns through investment in equities of companies in the large, mid and small cap segments.</t>
  </si>
  <si>
    <t>ULIF07114/07/23FlexiCapFd101</t>
  </si>
  <si>
    <t>Midcap Momentum Fund</t>
  </si>
  <si>
    <t>To generate long-term capital appreciation from a portfolio of mid-cap stocks aligned to the MidCap Momentum Index.</t>
  </si>
  <si>
    <t>ULIF07317/01/24MidCpMoIdx101</t>
  </si>
  <si>
    <t>Nifty Alpha 30 Fund</t>
  </si>
  <si>
    <t>To generate long-term capital appreciation from a portfolio aligned to an index consisting of 30 stocks selected from the top 200 stocks based on Jensen's Alpha.</t>
  </si>
  <si>
    <t>ULIF07528/05/24AlphaIdxFd101</t>
  </si>
  <si>
    <t>Top 500 Momentum 50 Fund</t>
  </si>
  <si>
    <t>To generate long-term capital appreciation from a portfolio aligned to an index consisting of 50 stocks selected from the top 500 based on Momentum Score.</t>
  </si>
  <si>
    <t>ULIF07616/10/24Top500MoFd101</t>
  </si>
  <si>
    <t>Dynamic Advantage Fund</t>
  </si>
  <si>
    <t>To generate long-term capital appreciation from a mix of equity and debt investments and dynamically allocate between equities and bonds based on relative valuations.</t>
  </si>
  <si>
    <t>ULIF08028/02/25DynamicFnd101</t>
  </si>
  <si>
    <t>Top 300 Alpha 50 Fund</t>
  </si>
  <si>
    <t>To generate long-term capital appreciation from a portfolio aligned to an index consisting of 50 stocks selected from the top 300 stocks based on Jensen's Alpha.</t>
  </si>
  <si>
    <t>ULIF07828/02/25Alpha300Fd101</t>
  </si>
  <si>
    <t>Top 500 Multifactor 50 Fund</t>
  </si>
  <si>
    <t>To generate long-term capital appreciation from a portfolio aligned to an index consisting of 50 stocks selected from the top 500 based on momentum, quality, value and low volatility factors.</t>
  </si>
  <si>
    <t>ULIF08219/09/25TopMF500Fd101</t>
  </si>
  <si>
    <t>India Consumption Advantage Fund</t>
  </si>
  <si>
    <t>To generate long-term capital appreciation by investing in a diversified portfolio of equity and equity related securities that benefit directly or indirectly from India's domestic consumption growth story. The fund may use derivatives as permitted to calibrate portfolio risk.</t>
  </si>
  <si>
    <t>ULIF08421/11/25InCnsmAdFd101</t>
  </si>
  <si>
    <t>India Sector Leaders Opportunities Fund</t>
  </si>
  <si>
    <t>To generate long-term capital appreciation by investing in a diversified portfolio of equity and equity related securities aligned to the Sector Leaders Index, subject to IRDAI regulations. The fund may use derivative instruments or other equity instruments to calibrate portfolio risk.</t>
  </si>
  <si>
    <t>ULIF08602/03/26InSctrLdrFd101</t>
  </si>
  <si>
    <t>TATA AIA</t>
  </si>
  <si>
    <t>Emerging Opportunities Fund</t>
  </si>
  <si>
    <t>The primary investment objective of the Fund is to generate capital appreciation in the long term by investing in a portfolio of stocks that offer opportunities in the Mid Cap space and emerging leaders in the new age sectors offering significant long-term wealth creation. The fund can invest up to 30% of the portfolio in equity and equity related instruments falling outside the mid-cap range.</t>
  </si>
  <si>
    <t>ULIF 064 12/09/22 EOF 110</t>
  </si>
  <si>
    <t>Equity - Mid Cap Oriented</t>
  </si>
  <si>
    <t>17/07/26</t>
  </si>
  <si>
    <t>Tata AIA Fund Performance</t>
  </si>
  <si>
    <t>To focus on investing in select companies from the investment universe, which conduct business in socially and environmentally responsible manner while maintaining governance standards.</t>
  </si>
  <si>
    <t>ULIF 065 12/09/22 ESG 110</t>
  </si>
  <si>
    <t>Equity - ESG/Thematic</t>
  </si>
  <si>
    <t>The primary investment objective of the Fund is to maximize the returns with medium risk.</t>
  </si>
  <si>
    <t>ULIF 066 12/09/22 DAF 110</t>
  </si>
  <si>
    <t>Balanced (Debt &amp; Equity)</t>
  </si>
  <si>
    <t>Medium</t>
  </si>
  <si>
    <t>Multi Cap Fund</t>
  </si>
  <si>
    <t>The primary investment objective of the Fund is to generate capital appreciation in the long term by investing in a diversified portfolio of Large Cap and Mid Cap companies. The allocation between Large Cap and Mid Cap companies will be largely a function of the relative valuations of Large Cap companies as against Mid Cap companies.</t>
  </si>
  <si>
    <t>ULIF 060 15/07/14 MCF 110</t>
  </si>
  <si>
    <t>Equity - Multi Cap</t>
  </si>
  <si>
    <t>The primary investment objective of the Fund is to generate capital appreciation in the long term by investing in a diversified portfolio of companies which would benefit from India's Domestic Consumption growth story. The fund could provide an investment opportunity in the theme of rising consumption power in India for long term returns.</t>
  </si>
  <si>
    <t>ULIF 061 15/07/14 ICF 110</t>
  </si>
  <si>
    <t>Equity - Thematic (Consumption)</t>
  </si>
  <si>
    <t>Top 50 Fund</t>
  </si>
  <si>
    <t>The Top 50 Fund will invest primarily in select stocks which are a part of Nifty 50 Index with a focus on generating long term capital appreciation. The Fund will not replicate the index but aim to attain performance better than the Index. As a defensive strategy the scheme may also invest in debt and money market instruments.</t>
  </si>
  <si>
    <t>ULIF026 12/01/09 ITF 110</t>
  </si>
  <si>
    <t>Equity - Large Cap (Nifty 50 oriented)</t>
  </si>
  <si>
    <t>Top 200 Fund</t>
  </si>
  <si>
    <t>The Top 200 Fund will invest primarily in select stocks which are a part of BSE 200 Index with a focus on generating long term capital appreciation. The Fund will not replicate the index but aim to attain performance better than the Index. As a defensive strategy the scheme may also invest in debt and money market instruments.</t>
  </si>
  <si>
    <t>ULIF 027 12/01/09 ITT 110</t>
  </si>
  <si>
    <t>Equity - Large &amp; Mid Cap (BSE 200 oriented)</t>
  </si>
  <si>
    <t>Super Select Equity Fund</t>
  </si>
  <si>
    <t>The Fund will invest a significant amount in equity and equity linked instruments, specifically excluding companies predominantly dealing in Gambling, Lotteries/Contests, Animal Produce, Liquor, Tobacco, Entertainment, Hotels, Sugar, Leather, Banks and Financial Institutions. Cash holding is kept below 40% of the Fund. The objective is to provide income distribution over the medium to long term while emphasizing capital appreciation.</t>
  </si>
  <si>
    <t>ULIF 035 16/10/09 TSS 110</t>
  </si>
  <si>
    <t>Equity - Ethical/Exclusionary</t>
  </si>
  <si>
    <t>Large Cap Equity Fund</t>
  </si>
  <si>
    <t>The primary investment objective of the Fund is to generate long-term capital appreciation from a portfolio that is invested pre-dominantly in large cap equity and equity linked securities.</t>
  </si>
  <si>
    <t>ULIF017 07/01/08 TLC 110</t>
  </si>
  <si>
    <t>Equity - Large Cap</t>
  </si>
  <si>
    <t>Whole Life Aggressive Growth Fund</t>
  </si>
  <si>
    <t>The primary investment objective of the Fund is to provide higher returns in the long term by investing primarily in Equities along with debt/money market instruments.</t>
  </si>
  <si>
    <t>ULIF 010 04/01/07 WLA 110</t>
  </si>
  <si>
    <t>Balanced - Equity Oriented</t>
  </si>
  <si>
    <t>Medium to High</t>
  </si>
  <si>
    <t>Whole Life Stable Growth Fund</t>
  </si>
  <si>
    <t>The primary investment objective of the Fund is to provide stable returns by balancing the investment in Equities and debt/money market instruments.</t>
  </si>
  <si>
    <t>ULIF 011 04/01/07 WLS 110</t>
  </si>
  <si>
    <t>Balanced - Debt Oriented</t>
  </si>
  <si>
    <t>Low to Medium</t>
  </si>
  <si>
    <t>Whole Life Income Fund</t>
  </si>
  <si>
    <t>The primary investment objective of the Fund is to generate income by investing in a range of debt and money market instruments of various maturities with a view to maximizing the optimal balance between yield, safety and liquidity.</t>
  </si>
  <si>
    <t>ULIF 012 04/01/07 WLI 110</t>
  </si>
  <si>
    <t>Whole Life Short-Term Fixed Income Fund</t>
  </si>
  <si>
    <t>The primary investment objective of the Fund is to generate stable returns by investing in fixed income securities having shorter maturity periods. Under normal circumstances, the average maturity of the Fund may be in the range of 1-3 years.</t>
  </si>
  <si>
    <t>ULIF 013 04/01/07 WLF 110</t>
  </si>
  <si>
    <t>Debt - Short Term</t>
  </si>
  <si>
    <t>Flexi Growth Fund</t>
  </si>
  <si>
    <t>The primary investment objective of the Fund is to generate capital appreciation in the long term by investing in a portfolio of stocks across market capitalization.</t>
  </si>
  <si>
    <t>ULIF 068 25/04/23 FGF 110</t>
  </si>
  <si>
    <t>Equity - Flexi Cap</t>
  </si>
  <si>
    <t>Small Cap Discovery Fund</t>
  </si>
  <si>
    <t>The primary investment objective of the Fund is to generate capital appreciation in the long term by investing in a portfolio of stocks in small-cap market capitalization, primarily in carefully selected small-cap companies. Minimum 65% of equity and equity related instruments of the portfolio will comprise small-cap stocks.</t>
  </si>
  <si>
    <t>ULIF 071 22/05/23 SCF 110</t>
  </si>
  <si>
    <t>Equity - Small Cap</t>
  </si>
  <si>
    <t>Rising India Fund</t>
  </si>
  <si>
    <t>The objective of the fund is to generate capital appreciation by investing predominantly in equity and equity-related securities with a focus on growth stories across the Indian corporate landscape.</t>
  </si>
  <si>
    <t>ULIF 073 17/01/24 RIF 110</t>
  </si>
  <si>
    <t>Equity - Thematic (Growth/Domestic)</t>
  </si>
  <si>
    <t>Midcap Momentum Index Fund</t>
  </si>
  <si>
    <t>The primary investment objective of the Fund is to generate capital appreciation in the long term by investing in a portfolio of stocks indexed to the Nifty Midcap 150 Momentum 50 Index, subject to regulatory limits.</t>
  </si>
  <si>
    <t>ULIF 075 09/05/24 MIF 110</t>
  </si>
  <si>
    <t>Equity - Index (Midcap Momentum)</t>
  </si>
  <si>
    <t>The primary investment objective of the Fund is to generate capital appreciation in the long term by investing in a portfolio of stocks indexed to the Nifty Alpha 50 Index. The fund will invest 80%-100% in Equity and Equity related instruments and 0%-20% in Cash and Money Market Securities.</t>
  </si>
  <si>
    <t>ULIF 077 30/09/24 NAF 110</t>
  </si>
  <si>
    <t>Equity - Index (Nifty Alpha 50)</t>
  </si>
  <si>
    <t>Multicap Momentum Quality Index Fund</t>
  </si>
  <si>
    <t>The primary investment objective of the Fund is to generate capital appreciation in the long term by investing in a portfolio of stocks aligned to the Multicap Momentum Quality Index, aiming to generate returns as closely as possible subject to tracking error.</t>
  </si>
  <si>
    <t>ULIF 078 31/12/24 MQI 110</t>
  </si>
  <si>
    <t>Equity - Index (Multicap Momentum Quality)</t>
  </si>
  <si>
    <t>Tax Bonanza Consumption Fund</t>
  </si>
  <si>
    <t>The primary investment objective of the Fund is to generate capital appreciation in the long term by investing in a diversified portfolio of companies which would benefit from India's Domestic Consumption growth story.</t>
  </si>
  <si>
    <t>ULIF 088 31/03/25 TBC 110</t>
  </si>
  <si>
    <t>Momentum 50 Index Fund</t>
  </si>
  <si>
    <t>The primary investment objective of the Fund is to generate capital appreciation in the long term by investing in a portfolio of stocks aligned to the Top 500 Momentum 50 Index, customized to IRDAI Investment regulations. The fund will invest 80%-100% in Equity and Equity related instruments and 0%-20% in Cash and Money Market Securities.</t>
  </si>
  <si>
    <t>ULIF 092 25/08/25 MFI 110</t>
  </si>
  <si>
    <t>Equity - Index (Momentum 50)</t>
  </si>
  <si>
    <t>The primary investment objective of the Fund is to generate capital appreciation in the long term by investing in a portfolio of stocks aligned to the Sector Leaders Index, customized as per IRDAI regulatory requirements. The fund will invest 80%-100% in Equity and Equity related instruments and 0%-20% in Cash and Money Market Securities.</t>
  </si>
  <si>
    <t>ULIF 093 15/09/25 SLI 110</t>
  </si>
  <si>
    <t>Equity - Index (Sector Leaders)</t>
  </si>
  <si>
    <t>Product</t>
  </si>
  <si>
    <t>Allowed Fund</t>
  </si>
  <si>
    <t>Product UIN</t>
  </si>
  <si>
    <t>Switch Allowed</t>
  </si>
  <si>
    <t>Allocation Restriction</t>
  </si>
  <si>
    <t>TATA  AIA funds</t>
  </si>
  <si>
    <t>Fortune Pro</t>
  </si>
  <si>
    <t>110L112V07</t>
  </si>
  <si>
    <t>Yes – Switching allowed at any time within the investment funds offered under the plan. Restrictions apply when Enhanced SMART is active.</t>
  </si>
  <si>
    <t>No explicit allocation restriction specified; policyholder may allocate premiums across any or all available funds in varying proportions.</t>
  </si>
  <si>
    <t>Tata AIA Life Insurance Fortune Pro</t>
  </si>
  <si>
    <t>The primary investment objective of the Fund is to generate capital appreciation in the long term by investing in a diversified portfolio of companies which would benefit from India's Domestic Consumption growth story. The India Consumption Fund could provide an investment opportunity in the theme of rising consumption power in India for long term returns.</t>
  </si>
  <si>
    <t>The Top 50 Fund will invest primarily in select stocks which are a part of Nifty 50 Index with a focus on generating long term capital appreciation. The Fund will not replicate the index but aim to attain performance better than the performance of the Index. As a defensive strategy arising out of market conditions, the scheme may also invest in debt and money market instruments. The primary investment objective of the fund is to generate long term capital appreciation by investing in select stocks.</t>
  </si>
  <si>
    <t>The Top 200 Fund will invest primarily in select stocks which are a part of BSE 200 Index with a focus on generating long term capital appreciation. The Fund will not replicate the index but aim to attain performance better than the performance of the Index. As a defensive strategy arising out of market conditions, the scheme may also invest in debt and money market instruments. The primary investment objective of the fund is to generate long term capital appreciation by investing in select stocks.</t>
  </si>
  <si>
    <t>The Super Select Equity Fund will invest significant amount in equity and equity linked instruments specifically excluding companies predominantly dealing in Gambling, Lotteries/Contests, Animal Produce, Liquor, Tobacco, Entertainment (Films, TV etc) Hotels, sugar, leather, Banks and Financial Institutions. The risk profile of the fund is high. The cash holding of the Fund will be kept below 40% of the Fund or according to the prevailing regulatory guidelines at each point of time. The primary investment objective of the fund is to provide income distribution over a period of medium to long term while at all times emphasizing the importance of capital appreciation.</t>
  </si>
  <si>
    <t>Whole Life Mid Cap Equity Fund</t>
  </si>
  <si>
    <t>Equity - Mid Cap</t>
  </si>
  <si>
    <t>ULIF 009 04/01/07 WLE 110</t>
  </si>
  <si>
    <t>The primary investment objective of the Fund is to generate long - term capital appreciation from a portfolio that is invested pre-dominantly in Mid Cap Equity and Mid Cap Equity linked securities.</t>
  </si>
  <si>
    <t>The primary investment objective of the Fund is to provide higher returns in long term by investing primarily in Equities along with debt/ money market instruments.</t>
  </si>
  <si>
    <t>The primary investment objective of the Fund is to provide stable returns by balancing the investment in Equities and debt/ money market instruments.</t>
  </si>
  <si>
    <t>Debt - Government Securities (Constant Maturity)</t>
  </si>
  <si>
    <t>ULIF 069 17/05/23 CMF 110</t>
  </si>
  <si>
    <t>The fund aims to provide reasonable returns over long term by investing in portfolio of Government Securities while maintaining constant average maturity of the portfolio (ex - Cash/ Money Market Instruments, Bank Deposits and Mutual Funds) in the range of 8-12 years.</t>
  </si>
  <si>
    <t>Target Maturity Fund</t>
  </si>
  <si>
    <t>Debt - Government Securities (Target Maturity 2053)</t>
  </si>
  <si>
    <t>ULIF 070 17/05/23 TMF 110</t>
  </si>
  <si>
    <t>The fund aims to provide reasonable returns over long term by investing in portfolio of Government Securities. The fund shall have the maturity on 31st Dec 2053. The residual maturity of any Government Securities forming part of the portfolio shall be between the fund maturity date and date 5 years before the fund maturity date (i.e.1st Jan 2049).</t>
  </si>
  <si>
    <t>The primary investment objective of the Fund is to generate capital appreciation in the long term by investing in a portfolio of stocks in small-cap market capitalization. The fund will primarily invest in carefully selected small-cap companies that offer opportunities for long-term value creation. Minimum 65% of equity and equity related instruments of portfolio will comprise of small-cap stocks.</t>
  </si>
  <si>
    <t>Business Cycle Fund</t>
  </si>
  <si>
    <t>Equity - Thematic (Business Cycle)</t>
  </si>
  <si>
    <t>ULIF 072 15/01/24 BCF 110</t>
  </si>
  <si>
    <t>The investment objective of the Fund is to generate capital appreciation by investing predominantly in equity and equity-related securities with a focus on investing in companies and sectors to participate in the business cycles through active portfolio allocation.</t>
  </si>
  <si>
    <t>The objective of the fund is to generate capital appreciation by investing predominantly in equity and equity-related securities with a focus to invest in growth stories across the Indian corporate landscape.</t>
  </si>
  <si>
    <t>The primary investment objective of the Fund is to generate capital appreciation in the long term by investing in a portfolio of stocks indexed to the Nifty Midcap 150 Momentum 50 Index Fund, subject to regulatory limits. (Regulations may restrict us from investing in all the stocks in line with their weights in the index from time to time.)</t>
  </si>
  <si>
    <t>Flexi Growth Fund II</t>
  </si>
  <si>
    <t>ULIF 074 02/05/24 FG2 110</t>
  </si>
  <si>
    <t>The objective of the Fund is to generate capital appreciation in the long term by investing in a portfolio of stocks across market capitalization. The fund maintains flexibility to invest in carefully selected companies that offer opportunities across large, mid or small capitalization space.</t>
  </si>
  <si>
    <t>Whole Life Income Fund II</t>
  </si>
  <si>
    <t>Debt (No Equity Exposure)</t>
  </si>
  <si>
    <t>ULIF 076 06/06/24 WI2 110</t>
  </si>
  <si>
    <t>The primary investment objective of the Fund is to generate income through investing in a range of debt and money market instruments of various maturities with a view to maximizing the optimal balance between yield, safety and liquidity. The Fund will have no investments in equity or equity linked instruments at any point in time.</t>
  </si>
  <si>
    <t>The primary investment objective of the Fund is to generate capital appreciation in the long term by investing in a portfolio of stocks that are aligned to the Multicap Momentum Quality Index. The objective of the fund is to invest in companies with similar weights as in the index and generate returns as closely as possible, subject to tracking error.</t>
  </si>
  <si>
    <t>The primary investment objective of the Fund is to generate capital appreciation in the long term by investing in a diversified portfolio of companies which would benefit from India's Domestic Consumption growth story. The Tax Bonanza Consumption Fund could provide an investment opportunity in the theme of rising consumption power in India for long term returns.</t>
  </si>
  <si>
    <t>Top 200 Alpha 30 Index Fund</t>
  </si>
  <si>
    <t>Equity - Index (Nifty 200 Alpha 30)</t>
  </si>
  <si>
    <t>ULIF 090 30/06/25 TAF 110</t>
  </si>
  <si>
    <t>The primary investment objective of the Fund is to generate capital appreciation in the long term by investing in a portfolio of stocks indexed to the Nifty 200 Alpha 30 Index. The fund will invest 80%-100% in Equity and Equity related instruments and 0%-20% in Cash and Money Market Securities.</t>
  </si>
  <si>
    <t>Momentum 50 index Fund</t>
  </si>
  <si>
    <t>The primary investment objective of the Fund is to generate capital appreciation in the long term by investing in a portfolio of stocks that are aligned to the Top 500 Momentum 50 Index customized to IRDAI Investment regulations. The fund will invest 80%-100% in Equity and Equity related instruments and 0%-20% in Cash and Money Market Securities.</t>
  </si>
  <si>
    <t>The primary investment objective of the Fund is to generate capital appreciation in the long term by investing in a portfolio of stocks that are aligned to Sector Leaders Index, customized as per IRDAI regulatory requirements. The objective of the fund is to invest in companies with similar weights as in the index and generate returns as closely as possible, subject to tracking error. The fund will invest 80%-100% in Equity and Equity related instruments and 0%-20% in Cash and Money Market Securities.</t>
  </si>
  <si>
    <t>Multicap Opportunities Fund</t>
  </si>
  <si>
    <t>ULIF 095 31/12/25 MUF 110</t>
  </si>
  <si>
    <t>The primary investment objective of the Fund is to generate capital appreciation in the long term by investing in a portfolio of stocks across market capitalization. The fund maintains flexibility to invest in carefully selected companies that offer opportunities across large, mid or small capitalization space. The fund will invest 60%-100% in Equity and Equity related instruments and 0%-40% in Debt and Money Market Securities.</t>
  </si>
  <si>
    <t>Enhanced Value Index Fund</t>
  </si>
  <si>
    <t>Equity - Index (Enhanced Value)</t>
  </si>
  <si>
    <t>ULIF 098 16/02/26 EVI 110</t>
  </si>
  <si>
    <t>The primary investment objective of the Fund is to generate capital appreciation in the long term by investing in a portfolio of stocks that are aligned to the Enhanced Value Index, customized as per IRDAI regulatory requirements. The objective of the fund is to invest in companies with similar weights as in the index and generate returns as closely as possible, subject to tracking error. The fund will invest 70%-100% in Equity and Equity related instruments and 0%-20% in Cash and Money Market Securities.</t>
  </si>
  <si>
    <t>Smart Fortune Plus</t>
  </si>
  <si>
    <t>Equity Fund</t>
  </si>
  <si>
    <t>110L177V01</t>
  </si>
  <si>
    <t xml:space="preserve">Yes </t>
  </si>
  <si>
    <t>Tata AIA Smart Fortune Plus</t>
  </si>
  <si>
    <t>Equity Fund (ESG-themed)</t>
  </si>
  <si>
    <t>Equity Fund (Thematic - Consumption)</t>
  </si>
  <si>
    <t>Equity Fund (Large Cap)</t>
  </si>
  <si>
    <t>ULIF 026 12/01/09 ITF 110</t>
  </si>
  <si>
    <t>The primary investment objective of the fund is to generate long term capital appreciation by investing in select stocks. The Top 50 Fund will invest primarily in select stocks which are a part of Nifty 50 Index with a focus on generating long term capital appreciation. The Fund will not replicate the index but aim to attain performance better than the performance of the Index. As a defensive strategy arising out of market conditions, the scheme may also invest in debt and money market instruments.</t>
  </si>
  <si>
    <t>Equity Fund (Large &amp; Mid Cap)</t>
  </si>
  <si>
    <t>The primary investment objective of the fund is to generate long term capital appreciation by investing in select stocks. The Top 200 Fund will invest primarily in select stocks which are a part of BSE 200 Index with a focus on generating long term capital appreciation. The Fund will not replicate the index but aim to attain performance better than the performance of the Index. As a defensive strategy arising out of market conditions, the scheme may also invest in debt and money market instruments.</t>
  </si>
  <si>
    <t>Equity Fund (Ethical/Screened)</t>
  </si>
  <si>
    <t>The primary investment objective of the fund is to provide income distribution over a period of medium to long term while at all times emphasizing the importance of capital appreciation. The Super Select Equity Fund will invest significant amount in equity and equity linked instruments specifically excluding companies predominantly dealing in Gambling, Lotteries/Contests, Animal Produce, Liquor, Tobacco, Entertainment (Films, TV etc), Hotels, sugar, leather, Banks and Financial Institutions. The cash holding of the Fund will be kept below 40% of the Fund or according to the prevailing regulatory guidelines at each point of time.</t>
  </si>
  <si>
    <t>ULIF 017 07/01/08 TLC 110</t>
  </si>
  <si>
    <t>Equity Fund (Mid Cap)</t>
  </si>
  <si>
    <t>The primary investment objective of the Fund is to generate long-term capital appreciation from a portfolio that is invested pre-dominantly in Mid Cap Equity and Mid Cap Equity linked securities.</t>
  </si>
  <si>
    <t>Balanced/Debt-oriented Fund</t>
  </si>
  <si>
    <t>Equity Fund (Flexi/Multi-Cap)</t>
  </si>
  <si>
    <t>Equity Fund (Small Cap)</t>
  </si>
  <si>
    <t>Debt Fund</t>
  </si>
  <si>
    <t>Equity Fund (Thematic - India Growth)</t>
  </si>
  <si>
    <t>Equity Fund (Index - Mid Cap Momentum)</t>
  </si>
  <si>
    <t>The primary investment objective of the Fund is to generate capital appreciation in the long term by investing in a portfolio of stocks indexed to the Nifty Midcap 150 Momentum 50 Index Fund, subject to regulatory limits (regulations may restrict investing in all the stocks in line with their weights in the index from time to time).</t>
  </si>
  <si>
    <t>Balanced Fund (Equity-oriented)</t>
  </si>
  <si>
    <t>The primary investment objective of the Fund is to provide higher returns in long term by investing primarily in Equities along with debt/money market instruments.</t>
  </si>
  <si>
    <t>Debt Fund (Short Duration)</t>
  </si>
  <si>
    <t>Debt Fund (Government Securities)</t>
  </si>
  <si>
    <t>Debt Fund (Government Securities, Target Maturity 2053)</t>
  </si>
  <si>
    <t>Equity Fund (Thematic - Business Cycle)</t>
  </si>
  <si>
    <t>Equity Fund (Index - Alpha 50)</t>
  </si>
  <si>
    <t>Equity Fund (Index - Multicap Momentum Quality)</t>
  </si>
  <si>
    <t>Equity Fund (Index - Alpha 30)</t>
  </si>
  <si>
    <t>Equity Fund (Index - Momentum 50)</t>
  </si>
  <si>
    <t>Equity Fund (Index - Sector Leaders)</t>
  </si>
  <si>
    <t>Equity Fund (Index - Enhanced Value)</t>
  </si>
  <si>
    <t>The primary investment objective of the Fund is to generate capital appreciation in the long term by investing in a portfolio of stocks that are aligned to the Enhanced Value Index, customized as per IRDAI regulatory requirements. The objective of the fund is to invest in companies with similar weights as in the index and generate returns as closely as possible, subject to tracking error. The fund will invest 70%-100% in Equity and Equity related instruments and 0%-30% in Cash and Money Market Securities.</t>
  </si>
  <si>
    <t>Smart SIP</t>
  </si>
  <si>
    <t>110L174V02</t>
  </si>
  <si>
    <t>Unlimited free switches, except when Enhanced SMART or Life-Stage Based Strategy is active.</t>
  </si>
  <si>
    <t>No explicit allocation restriction specified; policyholder may allocate premiums in varying proportions across any or all available funds.</t>
  </si>
  <si>
    <t>The Top 200 Fund will invest primarily in select stocks which are a part of BSE 200 Index with a focus on generating long term capital appreciation. The Fund will not replicate the index but aim to attain performance better than the performance of the Index. As a defensive strategy arising out of market conditions, the scheme may also invest in debt and money market instruments. Objective: The primary investment objective of the fund is to generate long term capital appreciation by investing in select stocks.</t>
  </si>
  <si>
    <t>The Super Select Equity Fund will invest significant amount in equity and equity linked instruments specifically excluding companies predominantly dealing in Gambling, Lotteries/Contests, Animal Produce, Liquor, Tobacco, Entertainment (Films, TV etc) Hotels, sugar, leather, Banks and Financial Institutions. The cash holding of the Fund will be kept below 40% of the Fund or according to the prevailing regulatory guidelines at each point of time. Objective: The primary investment objective of the fund is to provide income distribution over a period of medium to long term while at all times emphasizing the importance of capital appreciation.</t>
  </si>
  <si>
    <t>The Top 50 Fund will invest primarily in select stocks which are a part of Nifty 50 Index with a focus on generating long term capital appreciation. The Fund will not replicate the index but aim to attain performance better than the performance of the Index. As a defensive strategy arising out of market conditions, the scheme may also invest in debt and money market instruments. Objective: The primary investment objective of the fund is to generate long term capital appreciation by investing in select stocks.</t>
  </si>
  <si>
    <t>Hybrid Fund</t>
  </si>
  <si>
    <t>The primary investment objective of the Fund is to generate capital appreciation in the long term by investing in a portfolio of stocks indexed to the Nifty Alpha 50 Index.</t>
  </si>
  <si>
    <t>SSR Supreme</t>
  </si>
  <si>
    <t>110L179V02</t>
  </si>
  <si>
    <t>Yes - unlimited free switches allowed during policy term (no switching charge). Restricted/not allowed for the two funds designated under an active Enhanced SMART strategy, and manual switching/premium redirection is not allowed if Life-Stage Based Portfolio Strategy is active.</t>
  </si>
  <si>
    <t>Sampoorna Raksha Supreme Term Insurance</t>
  </si>
  <si>
    <t>The Super Select Equity Fund will invest significant amount in equity and equity linked instruments specifically excluding companies predominantly dealing in Gambling, Lotteries/Contests, Animal Produce, Liquor, Tobacco, Entertainment (Films, TV etc) Hotels, sugar, leather, Banks and Financial Institutions. The risk profile of the fund is high. The cash holding of the Fund will be kept below 40% of the Fund or according to the prevailing regulatory guidelines at each point of time. Objective: The primary investment objective of the fund is to provide income distribution over a period of medium to long term while at all times emphasizing the importance of capital appreciation.</t>
  </si>
  <si>
    <t>The fund aims to provide reasonable returns over long term by investing in portfolio of Government Securities while maintaining constant average maturity of the portfolio (ex - Cash/Money Market Instruments, Bank Deposits and Mutual Funds) in the range of 8-12 years.</t>
  </si>
  <si>
    <t>The fund aims to provide reasonable returns over long term by investing in portfolio of Government Securities. The fund shall have the maturity on 31st Dec 2053. The residual maturity of any Government Securities forming part of the portfolio shall be between the fund maturity date and date 5 years before the fund maturity date (i.e. 1st Jan 2049).</t>
  </si>
  <si>
    <t>The primary investment objective of the Fund is to generate capital appreciation in the long term by investing in a portfolio of stocks indexed to the Nifty Midcap 150 Momentum 50 Index Fund, subject to regulatory limits. (Regulations may restrict investing in all the stocks in line with their weights in the index from time to time.)</t>
  </si>
  <si>
    <t>SSR Pro</t>
  </si>
  <si>
    <t>110L172V03</t>
  </si>
  <si>
    <t>Generate capital appreciation in the long term by investing in a portfolio of stocks offering opportunities in the Mid Cap space and emerging leaders in new age sectors; can invest up to 30% outside mid-cap range.</t>
  </si>
  <si>
    <t>Yes - free switching between funds anytime (restricted for the two funds selected under Enhanced SMART or Life-Stage Based Strategy portfolio option)</t>
  </si>
  <si>
    <t>Focus on investing in select companies from the investment universe that conduct business in a socially and environmentally responsible manner while maintaining governance standards.</t>
  </si>
  <si>
    <t>Generate capital appreciation in the long term by investing in a diversified portfolio of Large Cap and Mid Cap companies; allocation between the two is a function of relative valuations.</t>
  </si>
  <si>
    <t>Generate capital appreciation in the long term by investing in a diversified portfolio of companies that would benefit from India's Domestic Consumption growth story.</t>
  </si>
  <si>
    <t>Invest primarily in select stocks that are part of the Nifty 50 Index with a focus on generating long term capital appreciation; does not replicate the index.</t>
  </si>
  <si>
    <t>Invest primarily in select stocks that are part of the BSE 200 Index with a focus on generating long term capital appreciation; does not replicate the index.</t>
  </si>
  <si>
    <t>Invest significant amounts in equity and equity linked instruments, specifically excluding companies dealing predominantly in gambling, lotteries, liquor, tobacco, entertainment, hotels, sugar, leather, banks and financial institutions.</t>
  </si>
  <si>
    <t>Generate long-term capital appreciation from a portfolio invested predominantly in large cap equity and equity linked securities.</t>
  </si>
  <si>
    <t>Generate long-term capital appreciation from a portfolio invested predominantly in Mid Cap Equity and Mid Cap Equity linked securities.</t>
  </si>
  <si>
    <t>Maximize the returns with medium risk.</t>
  </si>
  <si>
    <t>Provide higher returns in the long term by investing primarily in equities along with debt/money market instruments.</t>
  </si>
  <si>
    <t>Provide stable returns by balancing the investment in Equities and debt/money market instruments.</t>
  </si>
  <si>
    <t>Generate income by investing in a range of debt and money market instruments of various maturities, maximizing the balance between yield, safety and liquidity.</t>
  </si>
  <si>
    <t>Generate stable returns by investing in fixed income securities of shorter maturity; average fund maturity typically 1-3 years.</t>
  </si>
  <si>
    <t>Generate capital appreciation in the long term by investing in a portfolio of stocks across market capitalization.</t>
  </si>
  <si>
    <t>Provide reasonable returns over the long term by investing in Government Securities while maintaining a constant average portfolio maturity of around 8-12 years.</t>
  </si>
  <si>
    <t>Provide reasonable returns over the long term by investing in Government Securities maturing 31 Dec 2053; residual maturity between fund maturity date and 5 years prior.</t>
  </si>
  <si>
    <t>Generate capital appreciation in the long term by investing in a portfolio of small-cap stocks; minimum 65% of equity related instruments comprise small-cap stocks.</t>
  </si>
  <si>
    <t>Generate capital appreciation by investing predominantly in equity and equity-related securities, focusing on companies/sectors participating in business cycles through active portfolio allocation.</t>
  </si>
  <si>
    <t>Generate capital appreciation by investing predominantly in equity and equity-related securities, focusing on growth stories across the Indian corporate landscape.</t>
  </si>
  <si>
    <t>Generate capital appreciation in the long term by investing in a portfolio of stocks indexed to the Nifty Midcap 150 Momentum 50 Index, subject to regulatory limits.</t>
  </si>
  <si>
    <t>Generate capital appreciation in the long term by investing in a portfolio of stocks across market capitalization, with flexibility across large, mid or small cap space.</t>
  </si>
  <si>
    <t>Generate income through investing in a range of debt and money market instruments of various maturities; no investment in equity or equity linked instruments.</t>
  </si>
  <si>
    <t>Generate capital appreciation in the long term by investing in a portfolio of stocks indexed to the Nifty Alpha 50 Index.</t>
  </si>
  <si>
    <t>Generate capital appreciation in the long term by investing in a portfolio of stocks aligned to the Multicap Momentum Quality Index, tracking similar index weights subject to tracking error.</t>
  </si>
  <si>
    <t>Generate capital appreciation in the long term by investing in a diversified portfolio of companies benefiting from India's Domestic Consumption growth story.</t>
  </si>
  <si>
    <t>Generate capital appreciation in the long term by investing in a portfolio of stocks indexed to the Nifty 200 Alpha 30 Index.</t>
  </si>
  <si>
    <t>Generate capital appreciation in the long term by investing in a portfolio of stocks aligned to the Top 500 Momentum 50 Index, customized to IRDAI regulations.</t>
  </si>
  <si>
    <t>Generate capital appreciation in the long term by investing in a portfolio of stocks aligned to the Sector Leaders Index, tracking similar index weights subject to tracking error.</t>
  </si>
  <si>
    <t>Generate capital appreciation in the long term by investing in a portfolio of stocks aligned to the Enhanced Value Index; passively managed fund.</t>
  </si>
  <si>
    <t>i Systematic Insurance Plan</t>
  </si>
  <si>
    <t>110L164V10</t>
  </si>
  <si>
    <t>Large Mid Cap Innovation Fund</t>
  </si>
  <si>
    <t>ULIF 099 31/03/26 LMI 110</t>
  </si>
  <si>
    <t>Actively managed fund generating capital appreciation by investing in India's top leading companies focused on innovation for long term value creation, across large or mid cap space.</t>
  </si>
  <si>
    <t>ICICI Prudential smart insurance plus plan</t>
  </si>
  <si>
    <t>smart insurance plan</t>
  </si>
  <si>
    <t>Yes (Unlimited free switches under Fixed Portfolio Strategy)</t>
  </si>
  <si>
    <t>Not specified in the product brochure</t>
  </si>
  <si>
    <t>https://www.iciciprulife.com/content/dam/icicipru/brochures/ICICI_Pru_SIP_Plus_Brochure.pdf</t>
  </si>
  <si>
    <t xml:space="preserve">ICICI Prudential smart insurance plus plan
</t>
  </si>
  <si>
    <t xml:space="preserve">Maximiser V </t>
  </si>
  <si>
    <t>ICICI Prudential Signature Funds</t>
  </si>
  <si>
    <t>signature funds</t>
  </si>
  <si>
    <t>No explicit allocation restriction specified ,Customer may allocate in proportions of choice (subject to selected Portfolio Strategy)</t>
  </si>
  <si>
    <t>https://www.iciciprulife.com/content/dam/icicipru/brochures/ICICI_Pru_Signature_Online_Brochure.pdf</t>
  </si>
  <si>
    <t>Unlimited free fund switches are available only under the Fixed Portfolio Strategy. Switching is not available under other portfolio strategies. Minimum switch amount: ₹2,000.</t>
  </si>
  <si>
    <t>To provide capital appreciation by investing in a suitable mix of cash, debt and equities. The investment strategy will involve a flexible policy for allocating assets among equities, bonds and cash.</t>
  </si>
  <si>
    <t>To generate superior long-term returns from a diversified portfolio of equity and debt securities. The equity allocation is to be changed dynamically based on market conditions and relative attractiveness versus other asset classes.</t>
  </si>
  <si>
    <t>To generate superior long term returns by investing in companies specifically forming a part of NIFTY MidSmall Cap 400 Index, subject to regulatory limits.</t>
  </si>
  <si>
    <t>To generate superior long-term returns by investing in the mid-cap and small-cap companies forming a part of Nifty MidSmallCap 400 Momentum Quality 100 Index Fund, subject to regulatory limits.</t>
  </si>
  <si>
    <t>To generate superior long-term returns by investing in the small-cap companies forming a part of the Nifty Smallcap 250 Momentum Quality 100 Index, subject to regulatory limits.</t>
  </si>
  <si>
    <t>ICICI Prudential Signature Assure Funds</t>
  </si>
  <si>
    <t>signature assure funds</t>
  </si>
  <si>
    <t>No explicit allocation restriction specified; allocation depends on the selected portfolio strategy.</t>
  </si>
  <si>
    <t>https://www.iciciprulife.com/content/dam/icicipru/brochures/ICICI_Pru_Signature_Assure_Brochure.pdf</t>
  </si>
  <si>
    <t>Only under Fixed Portfolio Strategy; minimum switch amount ₹2,000; unlimited free switches; switches not permitted when monies are in the Discontinued Policy Fund.</t>
  </si>
  <si>
    <t>ICICI Pru1 Wealth</t>
  </si>
  <si>
    <t>Pru1 wealth</t>
  </si>
  <si>
    <t>No explicit allocation restriction specified; allocation is in proportions of your choice.</t>
  </si>
  <si>
    <t>https://www.iciciprulife.com/content/dam/icicipru/brochures/ICICI_Pru1_Wealth_Brochure.pdf</t>
  </si>
  <si>
    <t>Minimum switch amount ₹2,000; unlimited free switches; no restriction on the number of switches</t>
  </si>
  <si>
    <t>ULIF 090 LMoneyMkt 105</t>
  </si>
  <si>
    <t>To generate superior long term returns by investing in companies specifically forming a part of NIFTY MidSmall Cap 400 Index subject to regulatory limits.</t>
  </si>
  <si>
    <t>signature pension</t>
  </si>
  <si>
    <t>Fixed Portfolio Strategy: allocation among any available funds. Target Asset Allocation Strategy: allocation between any two funds only. LifeCycle Strategy: automatic allocation between Pension Multi Cap Growth Fund and Pension Income Fund based on age</t>
  </si>
  <si>
    <t>https://www.iciciprulife.com/content/dam/icicipru/brochures/ICICI_Pru_Signature_Pension_Brochure.pdf</t>
  </si>
  <si>
    <t>minimum switch amount ₹5,000. Switches not available under other portfolio strategies.</t>
  </si>
  <si>
    <t>signature secure</t>
  </si>
  <si>
    <t>To provide accumulation of income through
investment in various fixed income securities.
The fund seeks to maintain a suitable balance
between return, safety and liquidity</t>
  </si>
  <si>
    <t>No</t>
  </si>
  <si>
    <t>Investment is permitted only in the Secure Income Fund; no allocation among multiple funds is available</t>
  </si>
  <si>
    <t>https://www.iciciprulife.com/content/dam/icicipru/brochures/ICICI-Pru-Signature-Secure-Brochure.pdf</t>
  </si>
  <si>
    <t>platinum funds</t>
  </si>
  <si>
    <t>Unlimited free switches under Fixed Portfolio Strategy only</t>
  </si>
  <si>
    <t>Fixed Portfolio Strategy: allocation among any available funds. Target Asset Allocation Strategy: allocation between any two funds only. Trigger Portfolio Strategy 2: fixed 75% Multi Cap Growth Fund &amp; 25% Income Fund. Lifecycle Strategy: automatic age-based allocation between Multi Cap Growth Fund and Income Fund</t>
  </si>
  <si>
    <t>https://www.iciciprulife.com/content/dam/icicipru/brochures/ICICI_Pru_Platinum_Brochure.pdf</t>
  </si>
  <si>
    <t>minimum switch amount ₹2,000. Not available under other portfolio strategies.</t>
  </si>
  <si>
    <t>smart goal assure</t>
  </si>
  <si>
    <t>Fixed Portfolio Strategy: allocation among any available funds. Target Asset Allocation Strategy: allocation between any two funds only. Trigger Strategy: fixed 75% Multi Cap Growth Fund &amp; 25% Income Fund initially. Lifecycle Strategy: automatic age-based allocation between Multi Cap Growth Fund and Income Fund.</t>
  </si>
  <si>
    <t>https://www.iciciprulife.com/content/dam/icicipru/brochures/ICICI_Pru_Smart_Goal_Assure_Brochure.pdf</t>
  </si>
  <si>
    <t>minimum switch amount ₹2,000. Not available under other portfolio strategies or when monies are in the Discontinued Policy Fund.</t>
  </si>
  <si>
    <t>wealth elite pro</t>
  </si>
  <si>
    <t>Fixed Portfolio: allocation among available funds in proportions of your choice. Target Asset Allocation: between any two funds only. Trigger Strategy: initial 75% Multi Cap Growth Fund &amp; 25% Income Fund. Lifecycle Strategy: age-based automatic allocation between Multi Cap Growth Fund and Income Fund. Portfolio strategy can be changed up to 4 times per policy year</t>
  </si>
  <si>
    <t>https://www.iciciprulife.com/content/dam/icicipru/brochures/ICICI-Pru-Wealth-Elite-Pro.pdf</t>
  </si>
  <si>
    <t>Click2wealth</t>
  </si>
  <si>
    <t>101L133V03</t>
  </si>
  <si>
    <t>Yes (Unlimited free switching)</t>
  </si>
  <si>
    <t>No explicit customer allocation restriction specified; allocation ratio is chosen by the policyholder. STP transfers are available only from Bond Fund, Liquid Fund and Secure Advantage Fund to eligible destination funds.</t>
  </si>
  <si>
    <t>https://www.hdfclife.com/content/dam/hdfclifeinsurancecompany/fund-performance/pdf/fund-factsheets-individual.pdf#page=47</t>
  </si>
  <si>
    <t>https://www.hdfclife.com/content/dam/hdfclifeinsurancecompany/fund-performance/pdf/fund-factsheets-individual.pdf#page=48</t>
  </si>
  <si>
    <t>https://www.hdfclife.com/content/dam/hdfclifeinsurancecompany/fund-performance/pdf/fund-factsheets-individual.pdf#page=49</t>
  </si>
  <si>
    <t>https://www.hdfclife.com/content/dam/hdfclifeinsurancecompany/fund-performance/pdf/fund-factsheets-individual.pdf#page=50</t>
  </si>
  <si>
    <t>https://www.hdfclife.com/content/dam/hdfclifeinsurancecompany/fund-performance/pdf/fund-factsheets-individual.pdf#page=51</t>
  </si>
  <si>
    <t>https://www.hdfclife.com/content/dam/hdfclifeinsurancecompany/fund-performance/pdf/fund-factsheets-individual.pdf#page=52</t>
  </si>
  <si>
    <t>https://www.hdfclife.com/content/dam/hdfclifeinsurancecompany/fund-performance/pdf/fund-factsheets-individual.pdf#page=53</t>
  </si>
  <si>
    <t>https://www.hdfclife.com/content/dam/hdfclifeinsurancecompany/fund-performance/pdf/fund-factsheets-individual.pdf#page=54</t>
  </si>
  <si>
    <t>https://www.hdfclife.com/content/dam/hdfclifeinsurancecompany/fund-performance/pdf/fund-factsheets-individual.pdf#page=55</t>
  </si>
  <si>
    <t>https://www.hdfclife.com/content/dam/hdfclifeinsurancecompany/fund-performance/pdf/fund-factsheets-individual.pdf#page=56</t>
  </si>
  <si>
    <t>https://www.hdfclife.com/content/dam/hdfclifeinsurancecompany/fund-performance/pdf/fund-factsheets-individual.pdf#page=57</t>
  </si>
  <si>
    <t>https://www.hdfclife.com/content/dam/hdfclifeinsurancecompany/fund-performance/pdf/fund-factsheets-individual.pdf#page=58</t>
  </si>
  <si>
    <t>https://www.hdfclife.com/content/dam/hdfclifeinsurancecompany/fund-performance/pdf/fund-factsheets-individual.pdf#page=59</t>
  </si>
  <si>
    <t>https://www.hdfclife.com/content/dam/hdfclifeinsurancecompany/fund-performance/pdf/fund-factsheets-individual.pdf#page=60</t>
  </si>
  <si>
    <t>https://www.hdfclife.com/content/dam/hdfclifeinsurancecompany/fund-performance/pdf/fund-factsheets-individual.pdf#page=61</t>
  </si>
  <si>
    <t>https://www.hdfclife.com/content/dam/hdfclifeinsurancecompany/fund-performance/pdf/fund-factsheets-individual.pdf#page=62</t>
  </si>
  <si>
    <t>https://www.hdfclife.com/content/dam/hdfclifeinsurancecompany/fund-performance/pdf/fund-factsheets-individual.pdf#page=63</t>
  </si>
  <si>
    <t>https://www.hdfclife.com/content/dam/hdfclifeinsurancecompany/fund-performance/pdf/fund-factsheets-individual.pdf#page=64</t>
  </si>
  <si>
    <t>https://www.hdfclife.com/content/dam/hdfclifeinsurancecompany/fund-performance/pdf/fund-factsheets-individual.pdf#page=65</t>
  </si>
  <si>
    <t>https://www.hdfclife.com/content/dam/hdfclifeinsurancecompany/fund-performance/pdf/fund-factsheets-individual.pdf#page=66</t>
  </si>
  <si>
    <t>click 2 invest plus</t>
  </si>
  <si>
    <t>101L191V01</t>
  </si>
  <si>
    <t>Yes</t>
  </si>
  <si>
    <t>None specified (customer can allocate across one or multiple funds; no min/max allocation percentages mentioned)</t>
  </si>
  <si>
    <t>Dynamic equity exposure to enhance the returns while the debt allocation reduces the volatility of returns.</t>
  </si>
  <si>
    <t>Long term capital growth by investing predominantly in mid-cap companies. The fund may invest up to 25% of the portfolio in stocks outside the mid-cap index capitalization range. Up to 10% of the fund may be invested in fixed income instruments, money market instruments, cash, deposits and liquid mutual funds.</t>
  </si>
  <si>
    <t>Long term capital growth through diversified investments in companies across the market capitalization spectrum. Up to 20% of the fund may be invested in fixed income instruments, money market instruments, cash, deposits and liquid mutual funds.</t>
  </si>
  <si>
    <t>To generate superior long term returns through investment in equities of companies in the large, mid and small cap segments.</t>
  </si>
  <si>
    <t>To generate long-term capital appreciation by investing in a diversified portfolio of equity and equity related securities that are likely to benefit directly or indirectly from India's domestic consumption growth story. The fund may use various derivative instruments, as permitted under applicable regulations, to calibrate the risks in the portfolio.</t>
  </si>
  <si>
    <t>Top 500 Smart Value 50 Fund</t>
  </si>
  <si>
    <t>ULIF0 8801/ 06/26 SmtVal 50Fd101</t>
  </si>
  <si>
    <t>To generate long-term capital ap preciation by investing in a diversi fied portfo lio of equity and equity related se curities that are aligned to BSE 500 Enhanced Value Index, subject to IRDAI regula tory require ments. The fund may use various deriv ative instru ments, or any other equity instruments, as permitted under appli cable Reg ulations, to calibrate the risks in the portfolio.</t>
  </si>
  <si>
    <t>Smart protect plus</t>
  </si>
  <si>
    <t>101L187V03</t>
  </si>
  <si>
    <t>Yes (Available only under Option A – Level Cover and Option C – Decreasing Cover)</t>
  </si>
  <si>
    <t>None specified (Policyholder can choose the allocation ratio among the available funds.)</t>
  </si>
  <si>
    <t>https://drive.google.com/drive/u/0/folders/1C1XhHp7iAA0stUktn1IN8ax_i6R9Ynpi</t>
  </si>
  <si>
    <t>Switching available only under Option A (Level Cover) and Option C (Decreasing Cover). Unlimited free fund switches are allowed between the funds available under the product. Switching to withdrawn or closed funds is not permitted.</t>
  </si>
  <si>
    <t>To generate long-term capital appreciation from a mix of equity and debt investments and make dynamic asset allocation choices between equities and bonds to capture strategic opportunities in markets based on relative valuations.</t>
  </si>
  <si>
    <t>To generate long term capital appreciation by investing in a diversified portfolio of equity and equity related securities that are likely to benefit directly or indirectly from India's domestic consumption growth story. The fund may use various derivative instruments, as permitted under applicable regulations, to calibrate the risks.</t>
  </si>
  <si>
    <t>Long term capital appreciation through investment in select companies across market capitalization which conduct business in a socially and environmentally responsible manner while maintaining governance standards.</t>
  </si>
  <si>
    <t>ULIF08602/03/26InSctrLrFd101</t>
  </si>
  <si>
    <t>To generate long-term capital appreciation by investing in a diversified portfolio of equity and equity related securities aligned to the Sector Leaders Index, subject to IRDAI regulations. The fund may use derivative and other equity instruments to calibrate portfolio risks.</t>
  </si>
  <si>
    <t>ULIF08801/06/26SmVal50Fd101</t>
  </si>
  <si>
    <t>The fund aims to generate long-term capital appreciation by investing in a diversified portfolio of equity and equity related securities aligned to the BSE 500 Enhanced Value Index, subject to IRDAI regulations. The fund may use derivative and other equity instruments to calibrate portfolio risks.</t>
  </si>
  <si>
    <t>Capital Growth Fund</t>
  </si>
  <si>
    <t>ULIF06301/04/15CapGrwthFd101</t>
  </si>
  <si>
    <t>To generate long term capital appreciation through investments in companies, money market instruments and income securities.</t>
  </si>
  <si>
    <t>Capital Secure Fund</t>
  </si>
  <si>
    <t>ULIF06401/04/15CapSecFund101</t>
  </si>
  <si>
    <t>Higher potential returns due to higher duration and credit exposure.</t>
  </si>
  <si>
    <t>Sampoon nivesh plus</t>
  </si>
  <si>
    <t>Equity Plus Fund</t>
  </si>
  <si>
    <t>101A035V01</t>
  </si>
  <si>
    <t>ULIF05301/08/13EquityPlus101</t>
  </si>
  <si>
    <t>To generate long term capital appreciation in line or better than Nifty index returns.</t>
  </si>
  <si>
    <t>No explicit allocation restriction specified</t>
  </si>
  <si>
    <t>Long term capital growth by investing predominantly in mid-cap companies. The fund may invest up to 25% of the portfolio in stocks outside the mid-cap index capitalization range. Up to 10% may be invested in fixed income instruments, money market instruments, cash, deposits and liquid mutual funds.</t>
  </si>
  <si>
    <t>Long term capital growth through diversified investments in companies across the market capitalisation spectrum. Up to 20% of the fund may be invested in fixed income instruments, money market instruments, cash, deposits and liquid mutual funds.</t>
  </si>
  <si>
    <t>To generate long-term capital appreciation from a mix of equity &amp; debt investments and make dynamic asset allocation choices between equities and bonds to capture strategic opportunities in markets based on relative valuations.</t>
  </si>
  <si>
    <t>The Fund aims to generate long-term capital appreciation from a portfolio aligned to the constituents of an index consisting of 50 stocks selected from the top 300 stocks based on Jensen's Alpha.</t>
  </si>
  <si>
    <t>The Fund aims to generate long-term capital appreciation from a portfolio aligned to the constituents of an index consisting of 50 stocks selected from the top 500 based on the combination of momentum, quality, value and low volatility factors.</t>
  </si>
  <si>
    <t>To generate long-term capital appreciation by investing in a diversified portfolio of equity and equity related securities likely to benefit directly or indirectly from India's domestic consumption growth story. The fund may use derivative instruments, as permitted under applicable regulations, to calibrate portfolio risks.</t>
  </si>
  <si>
    <t>To generate long-term capital appreciation by investing in a diversified portfolio of equity and equity related securities aligned to the Sector Leaders Index, subject to IRDAI regulatory requirements. The fund may use derivative or other equity instruments to calibrate portfolio risks.</t>
  </si>
  <si>
    <t>ULIF08801/06/26SmtVal50Fd101</t>
  </si>
  <si>
    <t>The Fund aims to generate long-term capital appreciation by investing in a diversified portfolio of equity and equity related securities aligned to the BSE 500 Enhanced Value Index, subject to IRDAI regulatory requirements. The fund may use derivative or other equity instruments to calibrate portfolio risks.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</si>
</sst>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mm yyyy"/>
    <numFmt numFmtId="165" formatCode="d mmmm yyyy"/>
    <numFmt numFmtId="166" formatCode="dd/mm/yyyy"/>
  </numFmts>
  <fonts count="23">
    <font>
      <sz val="10.0"/>
      <color rgb="FF000000"/>
      <name val="Arial"/>
      <scheme val="minor"/>
    </font>
    <font>
      <color theme="1"/>
      <name val="Arial"/>
      <scheme val="minor"/>
    </font>
    <font>
      <b/>
      <color theme="1"/>
      <name val="Arial"/>
    </font>
    <font>
      <b/>
      <sz val="11.0"/>
      <color theme="1"/>
      <name val="Calibri"/>
    </font>
    <font>
      <color theme="1"/>
      <name val="Arial"/>
    </font>
    <font>
      <sz val="11.0"/>
      <color theme="1"/>
      <name val="Calibri"/>
    </font>
    <font>
      <u/>
      <color rgb="FF1155CC"/>
      <name val="Arial"/>
    </font>
    <font>
      <u/>
      <color rgb="FF0000FF"/>
      <name val="Arial"/>
    </font>
    <font>
      <u/>
      <color rgb="FF1155CC"/>
      <name val="Arial"/>
    </font>
    <font>
      <b/>
      <color rgb="FFFFFFFF"/>
      <name val="Roboto"/>
    </font>
    <font>
      <u/>
      <color rgb="FF1155CC"/>
      <name val="Arial"/>
    </font>
    <font>
      <u/>
      <color rgb="FF1155CC"/>
      <name val="Arial"/>
    </font>
    <font>
      <u/>
      <color rgb="FF0000FF"/>
      <name val="Arial"/>
    </font>
    <font>
      <sz val="10.0"/>
      <color rgb="FF000000"/>
      <name val="Arial"/>
    </font>
    <font>
      <b/>
      <sz val="10.0"/>
      <color theme="1"/>
      <name val="Arial"/>
      <scheme val="minor"/>
    </font>
    <font>
      <b/>
      <sz val="9.0"/>
      <color theme="1"/>
      <name val="Arial"/>
      <scheme val="minor"/>
    </font>
    <font>
      <sz val="9.0"/>
      <color theme="1"/>
      <name val="Arial"/>
      <scheme val="minor"/>
    </font>
    <font>
      <u/>
      <color rgb="FF0000FF"/>
      <name val="Roboto"/>
    </font>
    <font>
      <u/>
      <color rgb="FF0000FF"/>
      <name val="Roboto"/>
    </font>
    <font>
      <u/>
      <color rgb="FF0000FF"/>
      <name val="Roboto"/>
    </font>
    <font>
      <color rgb="FF434343"/>
      <name val="Roboto"/>
    </font>
    <font>
      <u/>
      <color rgb="FF0000FF"/>
      <name val="Roboto"/>
    </font>
    <font>
      <u/>
      <color rgb="FF0000FF"/>
      <name val="Roboto"/>
    </font>
  </fonts>
  <fills count="6">
    <fill>
      <patternFill patternType="none"/>
    </fill>
    <fill>
      <patternFill patternType="lightGray"/>
    </fill>
    <fill>
      <patternFill patternType="solid">
        <fgColor rgb="FFB7E1CD"/>
        <bgColor rgb="FFB7E1CD"/>
      </patternFill>
    </fill>
    <fill>
      <patternFill patternType="solid">
        <fgColor rgb="FF4A86E8"/>
        <bgColor rgb="FF4A86E8"/>
      </patternFill>
    </fill>
    <fill>
      <patternFill patternType="solid">
        <fgColor rgb="FFFFFFFF"/>
        <bgColor rgb="FFFFFFFF"/>
      </patternFill>
    </fill>
    <fill>
      <patternFill patternType="solid">
        <fgColor rgb="FFF6F8F9"/>
        <bgColor rgb="FFF6F8F9"/>
      </patternFill>
    </fill>
  </fills>
  <borders count="3">
    <border/>
    <border>
      <left style="thin">
        <color rgb="FFB7B7B7"/>
      </left>
      <right style="thin">
        <color rgb="FFB7B7B7"/>
      </right>
      <top style="thin">
        <color rgb="FFB7B7B7"/>
      </top>
      <bottom style="thin">
        <color rgb="FFB7B7B7"/>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vertical="bottom" wrapText="1"/>
    </xf>
    <xf borderId="0" fillId="0" fontId="3" numFmtId="0" xfId="0" applyAlignment="1" applyFont="1">
      <alignment shrinkToFit="0" vertical="bottom" wrapText="1"/>
    </xf>
    <xf borderId="0" fillId="0" fontId="4" numFmtId="0" xfId="0" applyAlignment="1" applyFont="1">
      <alignment shrinkToFit="0" vertical="bottom" wrapText="1"/>
    </xf>
    <xf borderId="0" fillId="0" fontId="5" numFmtId="0" xfId="0" applyAlignment="1" applyFont="1">
      <alignment shrinkToFit="0" vertical="bottom" wrapText="1"/>
    </xf>
    <xf borderId="0" fillId="0" fontId="4" numFmtId="0" xfId="0" applyAlignment="1" applyFont="1">
      <alignment horizontal="right" shrinkToFit="0" vertical="bottom" wrapText="1"/>
    </xf>
    <xf borderId="0" fillId="0" fontId="4" numFmtId="164" xfId="0" applyAlignment="1" applyFont="1" applyNumberFormat="1">
      <alignment horizontal="right" shrinkToFit="0" vertical="bottom" wrapText="1"/>
    </xf>
    <xf borderId="0" fillId="0" fontId="6" numFmtId="0" xfId="0" applyAlignment="1" applyFont="1">
      <alignment shrinkToFit="0" vertical="bottom" wrapText="1"/>
    </xf>
    <xf borderId="0" fillId="0" fontId="5" numFmtId="0" xfId="0" applyAlignment="1" applyFont="1">
      <alignment readingOrder="0" shrinkToFit="0" vertical="bottom" wrapText="1"/>
    </xf>
    <xf borderId="0" fillId="0" fontId="4" numFmtId="0" xfId="0" applyAlignment="1" applyFont="1">
      <alignment readingOrder="0" shrinkToFit="0" vertical="bottom" wrapText="1"/>
    </xf>
    <xf borderId="0" fillId="0" fontId="4" numFmtId="165" xfId="0" applyAlignment="1" applyFont="1" applyNumberFormat="1">
      <alignment readingOrder="0" shrinkToFit="0" vertical="bottom" wrapText="1"/>
    </xf>
    <xf borderId="0" fillId="0" fontId="7" numFmtId="0" xfId="0" applyAlignment="1" applyFont="1">
      <alignment readingOrder="0" shrinkToFit="0" vertical="bottom" wrapText="1"/>
    </xf>
    <xf borderId="0" fillId="0" fontId="1" numFmtId="0" xfId="0" applyAlignment="1" applyFont="1">
      <alignment readingOrder="0" shrinkToFit="0" wrapText="1"/>
    </xf>
    <xf borderId="0" fillId="0" fontId="4" numFmtId="166" xfId="0" applyAlignment="1" applyFont="1" applyNumberFormat="1">
      <alignment readingOrder="0" shrinkToFit="0" vertical="bottom" wrapText="1"/>
    </xf>
    <xf borderId="0" fillId="0" fontId="4" numFmtId="0" xfId="0" applyAlignment="1" applyFont="1">
      <alignment readingOrder="0" shrinkToFit="0" vertical="bottom" wrapText="1"/>
    </xf>
    <xf borderId="0" fillId="0" fontId="4" numFmtId="0" xfId="0" applyAlignment="1" applyFont="1">
      <alignment shrinkToFit="0" wrapText="1"/>
    </xf>
    <xf borderId="0" fillId="0" fontId="4" numFmtId="0" xfId="0" applyAlignment="1" applyFont="1">
      <alignment shrinkToFit="0" wrapText="1"/>
    </xf>
    <xf borderId="0" fillId="0" fontId="4" numFmtId="0" xfId="0" applyAlignment="1" applyFont="1">
      <alignment horizontal="right" shrinkToFit="0" wrapText="1"/>
    </xf>
    <xf borderId="0" fillId="0" fontId="8" numFmtId="0" xfId="0" applyAlignment="1" applyFont="1">
      <alignment shrinkToFit="0" wrapText="1"/>
    </xf>
    <xf borderId="0" fillId="0" fontId="4" numFmtId="0" xfId="0" applyFont="1"/>
    <xf borderId="0" fillId="0" fontId="4" numFmtId="0" xfId="0" applyAlignment="1" applyFont="1">
      <alignment vertical="bottom"/>
    </xf>
    <xf borderId="0" fillId="2" fontId="9" numFmtId="0" xfId="0" applyAlignment="1" applyFill="1" applyFont="1">
      <alignment shrinkToFit="0" vertical="bottom" wrapText="1"/>
    </xf>
    <xf borderId="0" fillId="3" fontId="9" numFmtId="0" xfId="0" applyAlignment="1" applyFill="1" applyFont="1">
      <alignment shrinkToFit="0" vertical="bottom" wrapText="1"/>
    </xf>
    <xf borderId="0" fillId="3" fontId="4" numFmtId="0" xfId="0" applyAlignment="1" applyFont="1">
      <alignment vertical="bottom"/>
    </xf>
    <xf borderId="0" fillId="4" fontId="4" numFmtId="0" xfId="0" applyAlignment="1" applyFill="1" applyFont="1">
      <alignment shrinkToFit="0" wrapText="1"/>
    </xf>
    <xf borderId="0" fillId="4" fontId="4" numFmtId="0" xfId="0" applyFont="1"/>
    <xf borderId="1" fillId="4" fontId="4" numFmtId="0" xfId="0" applyAlignment="1" applyBorder="1" applyFont="1">
      <alignment shrinkToFit="0" wrapText="1"/>
    </xf>
    <xf borderId="1" fillId="4" fontId="4" numFmtId="0" xfId="0" applyAlignment="1" applyBorder="1" applyFont="1">
      <alignment shrinkToFit="0" vertical="bottom" wrapText="1"/>
    </xf>
    <xf borderId="1" fillId="4" fontId="4" numFmtId="0" xfId="0" applyBorder="1" applyFont="1"/>
    <xf borderId="0" fillId="4" fontId="10" numFmtId="0" xfId="0" applyAlignment="1" applyFont="1">
      <alignment shrinkToFit="0" wrapText="1"/>
    </xf>
    <xf borderId="0" fillId="4" fontId="4" numFmtId="0" xfId="0" applyAlignment="1" applyFont="1">
      <alignment vertical="bottom"/>
    </xf>
    <xf borderId="0" fillId="4" fontId="11" numFmtId="0" xfId="0" applyFont="1"/>
    <xf borderId="0" fillId="4" fontId="4" numFmtId="0" xfId="0" applyAlignment="1" applyFont="1">
      <alignment readingOrder="0" vertical="bottom"/>
    </xf>
    <xf borderId="0" fillId="0" fontId="4" numFmtId="0" xfId="0" applyAlignment="1" applyFont="1">
      <alignment readingOrder="0" vertical="bottom"/>
    </xf>
    <xf borderId="0" fillId="4" fontId="12" numFmtId="0" xfId="0" applyAlignment="1" applyFont="1">
      <alignment readingOrder="0" shrinkToFit="0" vertical="bottom" wrapText="1"/>
    </xf>
    <xf borderId="0" fillId="4" fontId="13" numFmtId="0" xfId="0" applyAlignment="1" applyFont="1">
      <alignment horizontal="left" readingOrder="0" shrinkToFit="0" wrapText="1"/>
    </xf>
    <xf borderId="2" fillId="3" fontId="14" numFmtId="0" xfId="0" applyAlignment="1" applyBorder="1" applyFont="1">
      <alignment horizontal="left" shrinkToFit="0" vertical="center" wrapText="1"/>
    </xf>
    <xf borderId="2" fillId="3" fontId="14" numFmtId="0" xfId="0" applyAlignment="1" applyBorder="1" applyFont="1">
      <alignment horizontal="left" shrinkToFit="0" vertical="center" wrapText="1"/>
    </xf>
    <xf borderId="2" fillId="3" fontId="15" numFmtId="0" xfId="0" applyAlignment="1" applyBorder="1" applyFont="1">
      <alignment horizontal="left" shrinkToFit="0" vertical="center" wrapText="1"/>
    </xf>
    <xf borderId="2" fillId="0" fontId="1" numFmtId="0" xfId="0" applyAlignment="1" applyBorder="1" applyFont="1">
      <alignment shrinkToFit="0" vertical="center" wrapText="1"/>
    </xf>
    <xf borderId="2" fillId="0" fontId="1" numFmtId="0" xfId="0" applyAlignment="1" applyBorder="1" applyFont="1">
      <alignment shrinkToFit="0" vertical="center" wrapText="1"/>
    </xf>
    <xf borderId="2" fillId="0" fontId="16" numFmtId="0" xfId="0" applyAlignment="1" applyBorder="1" applyFont="1">
      <alignment shrinkToFit="0" vertical="center" wrapText="1"/>
    </xf>
    <xf borderId="2" fillId="0" fontId="17" numFmtId="0" xfId="0" applyAlignment="1" applyBorder="1" applyFont="1">
      <alignment shrinkToFit="0" vertical="center" wrapText="1"/>
    </xf>
    <xf borderId="2" fillId="0" fontId="16" numFmtId="0" xfId="0" applyAlignment="1" applyBorder="1" applyFont="1">
      <alignment readingOrder="0" shrinkToFit="0" vertical="center" wrapText="1"/>
    </xf>
    <xf borderId="2" fillId="0" fontId="18" numFmtId="0" xfId="0" applyAlignment="1" applyBorder="1" applyFont="1">
      <alignment readingOrder="0" shrinkToFit="0" vertical="center" wrapText="1"/>
    </xf>
    <xf borderId="2" fillId="0" fontId="1" numFmtId="0" xfId="0" applyAlignment="1" applyBorder="1" applyFont="1">
      <alignment readingOrder="0" shrinkToFit="0" vertical="center" wrapText="1"/>
    </xf>
    <xf borderId="2" fillId="0" fontId="19" numFmtId="0" xfId="0" applyAlignment="1" applyBorder="1" applyFont="1">
      <alignment readingOrder="0" shrinkToFit="0" vertical="center" wrapText="1"/>
    </xf>
    <xf borderId="2" fillId="3" fontId="14" numFmtId="0" xfId="0" applyAlignment="1" applyBorder="1" applyFont="1">
      <alignment horizontal="left" readingOrder="0" shrinkToFit="0" vertical="center" wrapText="1"/>
    </xf>
    <xf borderId="2" fillId="3" fontId="14" numFmtId="0" xfId="0" applyAlignment="1" applyBorder="1" applyFont="1">
      <alignment horizontal="left" readingOrder="0" shrinkToFit="0" vertical="center" wrapText="1"/>
    </xf>
    <xf borderId="2" fillId="3" fontId="15" numFmtId="0" xfId="0" applyAlignment="1" applyBorder="1" applyFont="1">
      <alignment horizontal="left" readingOrder="0" shrinkToFit="0" vertical="center" wrapText="1"/>
    </xf>
    <xf borderId="2" fillId="0" fontId="1" numFmtId="0" xfId="0" applyAlignment="1" applyBorder="1" applyFont="1">
      <alignment shrinkToFit="0" wrapText="1"/>
    </xf>
    <xf borderId="2" fillId="0" fontId="4" numFmtId="0" xfId="0" applyAlignment="1" applyBorder="1" applyFont="1">
      <alignment readingOrder="0" shrinkToFit="0" vertical="bottom" wrapText="1"/>
    </xf>
    <xf borderId="2" fillId="4" fontId="20" numFmtId="0" xfId="0" applyAlignment="1" applyBorder="1" applyFont="1">
      <alignment shrinkToFit="0" vertical="center" wrapText="1"/>
    </xf>
    <xf borderId="2" fillId="0" fontId="21" numFmtId="0" xfId="0" applyAlignment="1" applyBorder="1" applyFont="1">
      <alignment readingOrder="0" shrinkToFit="0" vertical="center" wrapText="1"/>
    </xf>
    <xf borderId="2" fillId="0" fontId="1" numFmtId="0" xfId="0" applyAlignment="1" applyBorder="1" applyFont="1">
      <alignment readingOrder="0" shrinkToFit="0" vertical="center" wrapText="1"/>
    </xf>
    <xf borderId="2" fillId="0" fontId="1" numFmtId="0" xfId="0" applyAlignment="1" applyBorder="1" applyFont="1">
      <alignment shrinkToFit="0" vertical="center" wrapText="1"/>
    </xf>
    <xf borderId="2" fillId="5" fontId="20" numFmtId="0" xfId="0" applyAlignment="1" applyBorder="1" applyFill="1" applyFont="1">
      <alignment shrinkToFit="0" vertical="center" wrapText="1"/>
    </xf>
    <xf borderId="2" fillId="0" fontId="4" numFmtId="0" xfId="0" applyAlignment="1" applyBorder="1" applyFont="1">
      <alignment readingOrder="0" shrinkToFit="0" vertical="bottom" wrapText="1"/>
    </xf>
    <xf borderId="2" fillId="0" fontId="22" numFmtId="0" xfId="0" applyAlignment="1" applyBorder="1" applyFont="1">
      <alignment readingOrder="0" shrinkToFit="0" vertical="center" wrapText="1"/>
    </xf>
    <xf borderId="2" fillId="0" fontId="1" numFmtId="0" xfId="0" applyAlignment="1" applyBorder="1" applyFont="1">
      <alignment readingOrder="0" shrinkToFit="0" vertical="center" wrapText="1"/>
    </xf>
    <xf borderId="0" fillId="0" fontId="1" numFmtId="0" xfId="0" applyAlignment="1" applyFont="1">
      <alignment readingOrder="0" shrinkToFit="0" vertical="center" wrapText="1"/>
    </xf>
  </cellXfs>
  <cellStyles count="1">
    <cellStyle xfId="0" name="Normal" builtinId="0"/>
  </cellStyles>
  <dxfs count="1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CFE2F3"/>
          <bgColor rgb="FFCFE2F3"/>
        </patternFill>
      </fill>
      <border/>
    </dxf>
    <dxf>
      <font/>
      <fill>
        <patternFill patternType="solid">
          <fgColor rgb="FFEFEFEF"/>
          <bgColor rgb="FFEFEFEF"/>
        </patternFill>
      </fill>
      <border/>
    </dxf>
    <dxf>
      <font/>
      <fill>
        <patternFill patternType="solid">
          <fgColor rgb="FFFFF2CC"/>
          <bgColor rgb="FFFFF2CC"/>
        </patternFill>
      </fill>
      <border/>
    </dxf>
    <dxf>
      <font/>
      <fill>
        <patternFill patternType="solid">
          <fgColor rgb="FFD0E0E3"/>
          <bgColor rgb="FFD0E0E3"/>
        </patternFill>
      </fill>
      <border/>
    </dxf>
    <dxf>
      <font/>
      <fill>
        <patternFill patternType="solid">
          <fgColor rgb="FFFFFFFF"/>
          <bgColor rgb="FFFFFFFF"/>
        </patternFill>
      </fill>
      <border/>
    </dxf>
    <dxf>
      <font/>
      <fill>
        <patternFill patternType="solid">
          <fgColor rgb="FFEAD1DC"/>
          <bgColor rgb="FFEAD1DC"/>
        </patternFill>
      </fill>
      <border/>
    </dxf>
    <dxf>
      <font/>
      <fill>
        <patternFill patternType="solid">
          <fgColor rgb="FFFCE5CD"/>
          <bgColor rgb="FFFCE5CD"/>
        </patternFill>
      </fill>
      <border/>
    </dxf>
    <dxf>
      <font/>
      <fill>
        <patternFill patternType="solid">
          <fgColor rgb="FFF3F3F3"/>
          <bgColor rgb="FFF3F3F3"/>
        </patternFill>
      </fill>
      <border/>
    </dxf>
    <dxf>
      <font/>
      <fill>
        <patternFill patternType="solid">
          <fgColor rgb="FFD9D9D9"/>
          <bgColor rgb="FFD9D9D9"/>
        </patternFill>
      </fill>
      <border/>
    </dxf>
  </dxfs>
  <tableStyles count="2">
    <tableStyle count="4" pivot="0" name="icici fund to product map-style">
      <tableStyleElement dxfId="1" type="headerRow"/>
      <tableStyleElement dxfId="2" type="firstRowStripe"/>
      <tableStyleElement dxfId="3" type="secondRowStripe"/>
      <tableStyleElement dxfId="4" size="0" type="wholeTable"/>
    </tableStyle>
    <tableStyle count="4" pivot="0" name="HDFC fund to product map-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224" displayName="Table1" name="Table1" id="1">
  <tableColumns count="14">
    <tableColumn name="Insurer Name" id="1"/>
    <tableColumn name="Product" id="2"/>
    <tableColumn name="Allowed Fund" id="3"/>
    <tableColumn name="Category" id="4"/>
    <tableColumn name="Product UIN" id="5"/>
    <tableColumn name="SFIN" id="6"/>
    <tableColumn name="Objective" id="7"/>
    <tableColumn name="Switch Allowed" id="8"/>
    <tableColumn name="Allocation Restriction" id="9"/>
    <tableColumn name="Source URL" id="10"/>
    <tableColumn name="Source Type" id="11"/>
    <tableColumn name="Confidence Level" id="12"/>
    <tableColumn name="Validation Status" id="13"/>
    <tableColumn name="Remarks" id="14"/>
  </tableColumns>
  <tableStyleInfo name="icici fund to product map-style" showColumnStripes="0" showFirstColumn="1" showLastColumn="1" showRowStripes="1"/>
</table>
</file>

<file path=xl/tables/table2.xml><?xml version="1.0" encoding="utf-8"?>
<table xmlns="http://schemas.openxmlformats.org/spreadsheetml/2006/main" ref="A1:N58" displayName="Table2" name="Table2" id="2">
  <tableColumns count="14">
    <tableColumn name="Insurer Name" id="1"/>
    <tableColumn name="Product" id="2"/>
    <tableColumn name="Allowed Fund" id="3"/>
    <tableColumn name="Category" id="4"/>
    <tableColumn name="Product UIN" id="5"/>
    <tableColumn name="SFIN" id="6"/>
    <tableColumn name="Objective" id="7"/>
    <tableColumn name="Switch Allowed" id="8"/>
    <tableColumn name="Allocation Restriction" id="9"/>
    <tableColumn name="Source URL" id="10"/>
    <tableColumn name="Source Type" id="11"/>
    <tableColumn name="Confidence Level" id="12"/>
    <tableColumn name="Validation Status" id="13"/>
    <tableColumn name="Remarks" id="14"/>
  </tableColumns>
  <tableStyleInfo name="HDFC fund to product ma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ciciprulife.com/retirement-pension-plans/icici-pru-signature-pension-plan.html" TargetMode="External"/><Relationship Id="rId42" Type="http://schemas.openxmlformats.org/officeDocument/2006/relationships/hyperlink" Target="https://www.iciciprulife.com/retirement-pension-plans/icici-pru-signature-pension-plan.html" TargetMode="External"/><Relationship Id="rId41" Type="http://schemas.openxmlformats.org/officeDocument/2006/relationships/hyperlink" Target="https://www.iciciprulife.com/retirement-pension-plans/icici-pru-signature-pension-plan.html" TargetMode="External"/><Relationship Id="rId44" Type="http://schemas.openxmlformats.org/officeDocument/2006/relationships/hyperlink" Target="https://www.tataaia.com/investment-funds/tata-aia-fund-performance.html" TargetMode="External"/><Relationship Id="rId43" Type="http://schemas.openxmlformats.org/officeDocument/2006/relationships/hyperlink" Target="https://www.iciciprulife.com/fund-performance/product-wise-fund-performance-details.html" TargetMode="External"/><Relationship Id="rId46" Type="http://schemas.openxmlformats.org/officeDocument/2006/relationships/hyperlink" Target="https://www.tataaia.com/investment-funds/tata-aia-fund-performance.html" TargetMode="External"/><Relationship Id="rId45" Type="http://schemas.openxmlformats.org/officeDocument/2006/relationships/hyperlink" Target="https://www.tataaia.com/investment-funds/tata-aia-fund-performance.html" TargetMode="External"/><Relationship Id="rId1" Type="http://schemas.openxmlformats.org/officeDocument/2006/relationships/hyperlink" Target="https://www.iciciprulife.com/ulip-plans/unit-linked-insurance-plans/buy-icici-pru-smart-insurance-plan-plus.html" TargetMode="External"/><Relationship Id="rId2" Type="http://schemas.openxmlformats.org/officeDocument/2006/relationships/hyperlink" Target="https://www.iciciprulife.com/ulip-plans/unit-linked-insurance-plans/buy-icici-pru-smart-insurance-plan-plus.html" TargetMode="External"/><Relationship Id="rId3" Type="http://schemas.openxmlformats.org/officeDocument/2006/relationships/hyperlink" Target="https://www.iciciprulife.com/ulip-plans/unit-linked-insurance-plans/buy-icici-pru-smart-insurance-plan-plus.html" TargetMode="External"/><Relationship Id="rId4" Type="http://schemas.openxmlformats.org/officeDocument/2006/relationships/hyperlink" Target="https://www.iciciprulife.com/ulip-plans/unit-linked-insurance-plans/buy-icici-pru-smart-insurance-plan-plus.html" TargetMode="External"/><Relationship Id="rId9" Type="http://schemas.openxmlformats.org/officeDocument/2006/relationships/hyperlink" Target="https://www.iciciprulife.com/ulip-plans/unit-linked-insurance-plans/buy-icici-pru-smart-insurance-plan-plus.html" TargetMode="External"/><Relationship Id="rId48" Type="http://schemas.openxmlformats.org/officeDocument/2006/relationships/hyperlink" Target="https://www.tataaia.com/investment-funds/tata-aia-fund-performance.html" TargetMode="External"/><Relationship Id="rId47" Type="http://schemas.openxmlformats.org/officeDocument/2006/relationships/hyperlink" Target="https://www.tataaia.com/investment-funds/tata-aia-fund-performance.html" TargetMode="External"/><Relationship Id="rId49" Type="http://schemas.openxmlformats.org/officeDocument/2006/relationships/hyperlink" Target="https://www.tataaia.com/investment-funds/tata-aia-fund-performance.html" TargetMode="External"/><Relationship Id="rId5" Type="http://schemas.openxmlformats.org/officeDocument/2006/relationships/hyperlink" Target="https://www.iciciprulife.com/ulip-plans/unit-linked-insurance-plans/buy-icici-pru-smart-insurance-plan-plus.html" TargetMode="External"/><Relationship Id="rId6" Type="http://schemas.openxmlformats.org/officeDocument/2006/relationships/hyperlink" Target="https://www.iciciprulife.com/ulip-plans/unit-linked-insurance-plans/buy-icici-pru-smart-insurance-plan-plus.html" TargetMode="External"/><Relationship Id="rId7" Type="http://schemas.openxmlformats.org/officeDocument/2006/relationships/hyperlink" Target="https://www.iciciprulife.com/ulip-plans/unit-linked-insurance-plans/buy-icici-pru-smart-insurance-plan-plus.html" TargetMode="External"/><Relationship Id="rId8" Type="http://schemas.openxmlformats.org/officeDocument/2006/relationships/hyperlink" Target="https://www.iciciprulife.com/ulip-plans/unit-linked-insurance-plans/buy-icici-pru-smart-insurance-plan-plus.html" TargetMode="External"/><Relationship Id="rId31" Type="http://schemas.openxmlformats.org/officeDocument/2006/relationships/hyperlink" Target="https://www.iciciprulife.com/ulip-plans/unit-linked-insurance-plans/buy-icici-pru-smart-insurance-plan-plus.html" TargetMode="External"/><Relationship Id="rId30" Type="http://schemas.openxmlformats.org/officeDocument/2006/relationships/hyperlink" Target="https://www.iciciprulife.com/ulip-plans/unit-linked-insurance-plans/buy-icici-pru-smart-insurance-plan-plus.html" TargetMode="External"/><Relationship Id="rId33" Type="http://schemas.openxmlformats.org/officeDocument/2006/relationships/hyperlink" Target="https://www.iciciprulife.com/ulip-plans/unit-linked-insurance-plans/buy-icici-pru-ulip-signature-secure.html" TargetMode="External"/><Relationship Id="rId32" Type="http://schemas.openxmlformats.org/officeDocument/2006/relationships/hyperlink" Target="https://www.iciciprulife.com/ulip-plans/unit-linked-insurance-plans/buy-icici-pru-smart-insurance-plan-plus.html" TargetMode="External"/><Relationship Id="rId35" Type="http://schemas.openxmlformats.org/officeDocument/2006/relationships/hyperlink" Target="https://www.iciciprulife.com/retirement-pension-plans/icici-pru-signature-pension-plan.html" TargetMode="External"/><Relationship Id="rId34" Type="http://schemas.openxmlformats.org/officeDocument/2006/relationships/hyperlink" Target="https://www.iciciprulife.com/retirement-pension-plans/icici-pru-signature-pension-plan.html" TargetMode="External"/><Relationship Id="rId37" Type="http://schemas.openxmlformats.org/officeDocument/2006/relationships/hyperlink" Target="https://www.iciciprulife.com/retirement-pension-plans/icici-pru-signature-pension-plan.html" TargetMode="External"/><Relationship Id="rId36" Type="http://schemas.openxmlformats.org/officeDocument/2006/relationships/hyperlink" Target="https://www.iciciprulife.com/retirement-pension-plans/icici-pru-signature-pension-plan.html" TargetMode="External"/><Relationship Id="rId39" Type="http://schemas.openxmlformats.org/officeDocument/2006/relationships/hyperlink" Target="https://www.iciciprulife.com/retirement-pension-plans/icici-pru-signature-pension-plan.html" TargetMode="External"/><Relationship Id="rId38" Type="http://schemas.openxmlformats.org/officeDocument/2006/relationships/hyperlink" Target="https://www.iciciprulife.com/retirement-pension-plans/icici-pru-signature-pension-plan.html" TargetMode="External"/><Relationship Id="rId62" Type="http://schemas.openxmlformats.org/officeDocument/2006/relationships/hyperlink" Target="https://www.tataaia.com/investment-funds/tata-aia-fund-performance.html" TargetMode="External"/><Relationship Id="rId61" Type="http://schemas.openxmlformats.org/officeDocument/2006/relationships/hyperlink" Target="https://www.tataaia.com/investment-funds/tata-aia-fund-performance.html" TargetMode="External"/><Relationship Id="rId20" Type="http://schemas.openxmlformats.org/officeDocument/2006/relationships/hyperlink" Target="https://www.iciciprulife.com/ulip-plans/unit-linked-insurance-plans/buy-icici-pru-smart-insurance-plan-plus.html" TargetMode="External"/><Relationship Id="rId64" Type="http://schemas.openxmlformats.org/officeDocument/2006/relationships/hyperlink" Target="https://www.tataaia.com/investment-funds/tata-aia-fund-performance.html" TargetMode="External"/><Relationship Id="rId63" Type="http://schemas.openxmlformats.org/officeDocument/2006/relationships/hyperlink" Target="https://www.tataaia.com/investment-funds/tata-aia-fund-performance.html" TargetMode="External"/><Relationship Id="rId22" Type="http://schemas.openxmlformats.org/officeDocument/2006/relationships/hyperlink" Target="https://www.iciciprulife.com/ulip-plans/unit-linked-insurance-plans/buy-icici-pru-smart-insurance-plan-plus.html" TargetMode="External"/><Relationship Id="rId66" Type="http://schemas.openxmlformats.org/officeDocument/2006/relationships/drawing" Target="../drawings/drawing1.xml"/><Relationship Id="rId21" Type="http://schemas.openxmlformats.org/officeDocument/2006/relationships/hyperlink" Target="https://www.iciciprulife.com/ulip-plans/unit-linked-insurance-plans/buy-icici-pru-smart-insurance-plan-plus.html" TargetMode="External"/><Relationship Id="rId65" Type="http://schemas.openxmlformats.org/officeDocument/2006/relationships/hyperlink" Target="https://www.tataaia.com/investment-funds/tata-aia-fund-performance.html" TargetMode="External"/><Relationship Id="rId24" Type="http://schemas.openxmlformats.org/officeDocument/2006/relationships/hyperlink" Target="https://www.iciciprulife.com/ulip-plans/unit-linked-insurance-plans/buy-icici-pru-smart-insurance-plan-plus.html" TargetMode="External"/><Relationship Id="rId23" Type="http://schemas.openxmlformats.org/officeDocument/2006/relationships/hyperlink" Target="https://www.iciciprulife.com/ulip-plans/unit-linked-insurance-plans/buy-icici-pru-smart-insurance-plan-plus.html" TargetMode="External"/><Relationship Id="rId60" Type="http://schemas.openxmlformats.org/officeDocument/2006/relationships/hyperlink" Target="https://www.tataaia.com/investment-funds/tata-aia-fund-performance.html" TargetMode="External"/><Relationship Id="rId26" Type="http://schemas.openxmlformats.org/officeDocument/2006/relationships/hyperlink" Target="https://www.iciciprulife.com/ulip-plans/unit-linked-insurance-plans/buy-icici-pru-smart-insurance-plan-plus.html" TargetMode="External"/><Relationship Id="rId25" Type="http://schemas.openxmlformats.org/officeDocument/2006/relationships/hyperlink" Target="https://www.iciciprulife.com/ulip-plans/unit-linked-insurance-plans/buy-icici-pru-smart-insurance-plan-plus.html" TargetMode="External"/><Relationship Id="rId28" Type="http://schemas.openxmlformats.org/officeDocument/2006/relationships/hyperlink" Target="https://www.iciciprulife.com/ulip-plans/unit-linked-insurance-plans/buy-icici-pru-smart-insurance-plan-plus.html" TargetMode="External"/><Relationship Id="rId27" Type="http://schemas.openxmlformats.org/officeDocument/2006/relationships/hyperlink" Target="https://www.iciciprulife.com/ulip-plans/unit-linked-insurance-plans/buy-icici-pru-smart-insurance-plan-plus.html" TargetMode="External"/><Relationship Id="rId29" Type="http://schemas.openxmlformats.org/officeDocument/2006/relationships/hyperlink" Target="https://www.iciciprulife.com/ulip-plans/unit-linked-insurance-plans/buy-icici-pru-smart-insurance-plan-plus.html" TargetMode="External"/><Relationship Id="rId51" Type="http://schemas.openxmlformats.org/officeDocument/2006/relationships/hyperlink" Target="https://www.tataaia.com/investment-funds/tata-aia-fund-performance.html" TargetMode="External"/><Relationship Id="rId50" Type="http://schemas.openxmlformats.org/officeDocument/2006/relationships/hyperlink" Target="https://www.tataaia.com/investment-funds/tata-aia-fund-performance.html" TargetMode="External"/><Relationship Id="rId53" Type="http://schemas.openxmlformats.org/officeDocument/2006/relationships/hyperlink" Target="https://www.tataaia.com/investment-funds/tata-aia-fund-performance.html" TargetMode="External"/><Relationship Id="rId52" Type="http://schemas.openxmlformats.org/officeDocument/2006/relationships/hyperlink" Target="https://www.tataaia.com/investment-funds/tata-aia-fund-performance.html" TargetMode="External"/><Relationship Id="rId11" Type="http://schemas.openxmlformats.org/officeDocument/2006/relationships/hyperlink" Target="https://www.iciciprulife.com/ulip-plans/unit-linked-insurance-plans/buy-icici-pru-smart-insurance-plan-plus.html" TargetMode="External"/><Relationship Id="rId55" Type="http://schemas.openxmlformats.org/officeDocument/2006/relationships/hyperlink" Target="https://www.tataaia.com/investment-funds/tata-aia-fund-performance.html" TargetMode="External"/><Relationship Id="rId10" Type="http://schemas.openxmlformats.org/officeDocument/2006/relationships/hyperlink" Target="https://www.iciciprulife.com/ulip-plans/unit-linked-insurance-plans/buy-icici-pru-smart-insurance-plan-plus.html" TargetMode="External"/><Relationship Id="rId54" Type="http://schemas.openxmlformats.org/officeDocument/2006/relationships/hyperlink" Target="https://www.tataaia.com/investment-funds/tata-aia-fund-performance.html" TargetMode="External"/><Relationship Id="rId13" Type="http://schemas.openxmlformats.org/officeDocument/2006/relationships/hyperlink" Target="https://www.iciciprulife.com/ulip-plans/unit-linked-insurance-plans/buy-icici-pru-smart-insurance-plan-plus.html" TargetMode="External"/><Relationship Id="rId57" Type="http://schemas.openxmlformats.org/officeDocument/2006/relationships/hyperlink" Target="https://www.tataaia.com/investment-funds/tata-aia-fund-performance.html" TargetMode="External"/><Relationship Id="rId12" Type="http://schemas.openxmlformats.org/officeDocument/2006/relationships/hyperlink" Target="https://www.iciciprulife.com/ulip-plans/unit-linked-insurance-plans/buy-icici-pru-smart-insurance-plan-plus.html" TargetMode="External"/><Relationship Id="rId56" Type="http://schemas.openxmlformats.org/officeDocument/2006/relationships/hyperlink" Target="https://www.tataaia.com/investment-funds/tata-aia-fund-performance.html" TargetMode="External"/><Relationship Id="rId15" Type="http://schemas.openxmlformats.org/officeDocument/2006/relationships/hyperlink" Target="https://www.iciciprulife.com/ulip-plans/unit-linked-insurance-plans/buy-icici-pru-smart-insurance-plan-plus.html" TargetMode="External"/><Relationship Id="rId59" Type="http://schemas.openxmlformats.org/officeDocument/2006/relationships/hyperlink" Target="https://www.tataaia.com/investment-funds/tata-aia-fund-performance.html" TargetMode="External"/><Relationship Id="rId14" Type="http://schemas.openxmlformats.org/officeDocument/2006/relationships/hyperlink" Target="https://www.iciciprulife.com/ulip-plans/unit-linked-insurance-plans/buy-icici-pru-smart-insurance-plan-plus.html" TargetMode="External"/><Relationship Id="rId58" Type="http://schemas.openxmlformats.org/officeDocument/2006/relationships/hyperlink" Target="https://www.tataaia.com/investment-funds/tata-aia-fund-performance.html" TargetMode="External"/><Relationship Id="rId17" Type="http://schemas.openxmlformats.org/officeDocument/2006/relationships/hyperlink" Target="https://www.iciciprulife.com/ulip-plans/unit-linked-insurance-plans/buy-icici-pru-smart-insurance-plan-plus.html" TargetMode="External"/><Relationship Id="rId16" Type="http://schemas.openxmlformats.org/officeDocument/2006/relationships/hyperlink" Target="https://www.iciciprulife.com/ulip-plans/unit-linked-insurance-plans/buy-icici-pru-smart-insurance-plan-plus.html" TargetMode="External"/><Relationship Id="rId19" Type="http://schemas.openxmlformats.org/officeDocument/2006/relationships/hyperlink" Target="https://www.iciciprulife.com/ulip-plans/unit-linked-insurance-plans/buy-icici-pru-smart-insurance-plan-plus.html" TargetMode="External"/><Relationship Id="rId18" Type="http://schemas.openxmlformats.org/officeDocument/2006/relationships/hyperlink" Target="https://www.iciciprulife.com/ulip-plans/unit-linked-insurance-plans/buy-icici-pru-smart-insurance-plan-plus.html"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tataaia.com/life-insurance-plans/wealth-solutions/smart-fortune-plus.html" TargetMode="External"/><Relationship Id="rId42" Type="http://schemas.openxmlformats.org/officeDocument/2006/relationships/hyperlink" Target="https://www.tataaia.com/life-insurance-plans/wealth-solutions/smart-fortune-plus.html" TargetMode="External"/><Relationship Id="rId41" Type="http://schemas.openxmlformats.org/officeDocument/2006/relationships/hyperlink" Target="https://www.tataaia.com/life-insurance-plans/wealth-solutions/smart-fortune-plus.html" TargetMode="External"/><Relationship Id="rId44" Type="http://schemas.openxmlformats.org/officeDocument/2006/relationships/hyperlink" Target="https://www.tataaia.com/life-insurance-plans/wealth-solutions/smart-fortune-plus.html" TargetMode="External"/><Relationship Id="rId43" Type="http://schemas.openxmlformats.org/officeDocument/2006/relationships/hyperlink" Target="https://www.tataaia.com/life-insurance-plans/wealth-solutions/smart-fortune-plus.html" TargetMode="External"/><Relationship Id="rId46" Type="http://schemas.openxmlformats.org/officeDocument/2006/relationships/hyperlink" Target="https://www.tataaia.com/life-insurance-plans/wealth-solutions/smart-fortune-plus.html" TargetMode="External"/><Relationship Id="rId45" Type="http://schemas.openxmlformats.org/officeDocument/2006/relationships/hyperlink" Target="https://www.tataaia.com/life-insurance-plans/wealth-solutions/smart-fortune-plus.html" TargetMode="External"/><Relationship Id="rId107" Type="http://schemas.openxmlformats.org/officeDocument/2006/relationships/hyperlink" Target="https://www.tataaia.com/life-insurance-plans/term-insurance/sampoorna-raksha-supreme-old.html" TargetMode="External"/><Relationship Id="rId106" Type="http://schemas.openxmlformats.org/officeDocument/2006/relationships/hyperlink" Target="https://www.tataaia.com/life-insurance-plans/term-insurance/sampoorna-raksha-supreme-old.html" TargetMode="External"/><Relationship Id="rId105" Type="http://schemas.openxmlformats.org/officeDocument/2006/relationships/hyperlink" Target="https://www.tataaia.com/life-insurance-plans/term-insurance/sampoorna-raksha-supreme-old.html" TargetMode="External"/><Relationship Id="rId104" Type="http://schemas.openxmlformats.org/officeDocument/2006/relationships/hyperlink" Target="https://www.tataaia.com/life-insurance-plans/term-insurance/sampoorna-raksha-supreme-old.html" TargetMode="External"/><Relationship Id="rId109" Type="http://schemas.openxmlformats.org/officeDocument/2006/relationships/hyperlink" Target="https://www.tataaia.com/life-insurance-plans/term-insurance/sampoorna-raksha-supreme-old.html" TargetMode="External"/><Relationship Id="rId108" Type="http://schemas.openxmlformats.org/officeDocument/2006/relationships/hyperlink" Target="https://www.tataaia.com/life-insurance-plans/term-insurance/sampoorna-raksha-supreme-old.html" TargetMode="External"/><Relationship Id="rId48" Type="http://schemas.openxmlformats.org/officeDocument/2006/relationships/hyperlink" Target="https://www.tataaia.com/life-insurance-plans/wealth-solutions/smart-fortune-plus.html" TargetMode="External"/><Relationship Id="rId47" Type="http://schemas.openxmlformats.org/officeDocument/2006/relationships/hyperlink" Target="https://www.tataaia.com/life-insurance-plans/wealth-solutions/smart-fortune-plus.html" TargetMode="External"/><Relationship Id="rId49" Type="http://schemas.openxmlformats.org/officeDocument/2006/relationships/hyperlink" Target="https://www.tataaia.com/life-insurance-plans/wealth-solutions/smart-fortune-plus.html" TargetMode="External"/><Relationship Id="rId103" Type="http://schemas.openxmlformats.org/officeDocument/2006/relationships/hyperlink" Target="https://www.tataaia.com/life-insurance-plans/term-insurance/sampoorna-raksha-supreme-old.html" TargetMode="External"/><Relationship Id="rId102" Type="http://schemas.openxmlformats.org/officeDocument/2006/relationships/hyperlink" Target="https://www.tataaia.com/life-insurance-plans/term-insurance/sampoorna-raksha-supreme-old.html" TargetMode="External"/><Relationship Id="rId101" Type="http://schemas.openxmlformats.org/officeDocument/2006/relationships/hyperlink" Target="https://www.tataaia.com/life-insurance-plans/term-insurance/sampoorna-raksha-supreme-old.html" TargetMode="External"/><Relationship Id="rId100" Type="http://schemas.openxmlformats.org/officeDocument/2006/relationships/hyperlink" Target="https://www.tataaia.com/life-insurance-plans/term-insurance/sampoorna-raksha-supreme-old.html" TargetMode="External"/><Relationship Id="rId31" Type="http://schemas.openxmlformats.org/officeDocument/2006/relationships/hyperlink" Target="https://www.tataaia.com/tata-aia-life-insurance-fortune-pro.html" TargetMode="External"/><Relationship Id="rId30" Type="http://schemas.openxmlformats.org/officeDocument/2006/relationships/hyperlink" Target="https://www.tataaia.com/tata-aia-life-insurance-fortune-pro.html" TargetMode="External"/><Relationship Id="rId33" Type="http://schemas.openxmlformats.org/officeDocument/2006/relationships/hyperlink" Target="https://www.tataaia.com/life-insurance-plans/wealth-solutions/smart-fortune-plus.html" TargetMode="External"/><Relationship Id="rId32" Type="http://schemas.openxmlformats.org/officeDocument/2006/relationships/hyperlink" Target="https://www.tataaia.com/life-insurance-plans/wealth-solutions/smart-fortune-plus.html" TargetMode="External"/><Relationship Id="rId35" Type="http://schemas.openxmlformats.org/officeDocument/2006/relationships/hyperlink" Target="https://www.tataaia.com/life-insurance-plans/wealth-solutions/smart-fortune-plus.html" TargetMode="External"/><Relationship Id="rId34" Type="http://schemas.openxmlformats.org/officeDocument/2006/relationships/hyperlink" Target="https://www.tataaia.com/life-insurance-plans/wealth-solutions/smart-fortune-plus.html" TargetMode="External"/><Relationship Id="rId180" Type="http://schemas.openxmlformats.org/officeDocument/2006/relationships/drawing" Target="../drawings/drawing2.xml"/><Relationship Id="rId37" Type="http://schemas.openxmlformats.org/officeDocument/2006/relationships/hyperlink" Target="https://www.tataaia.com/life-insurance-plans/wealth-solutions/smart-fortune-plus.html" TargetMode="External"/><Relationship Id="rId176" Type="http://schemas.openxmlformats.org/officeDocument/2006/relationships/hyperlink" Target="https://www.tataaia.com/life-insurance-plans/wealth-solutions/i-systematic-insurance-plan.html" TargetMode="External"/><Relationship Id="rId36" Type="http://schemas.openxmlformats.org/officeDocument/2006/relationships/hyperlink" Target="https://www.tataaia.com/life-insurance-plans/wealth-solutions/smart-fortune-plus.html" TargetMode="External"/><Relationship Id="rId175" Type="http://schemas.openxmlformats.org/officeDocument/2006/relationships/hyperlink" Target="https://www.tataaia.com/life-insurance-plans/wealth-solutions/i-systematic-insurance-plan.html" TargetMode="External"/><Relationship Id="rId39" Type="http://schemas.openxmlformats.org/officeDocument/2006/relationships/hyperlink" Target="https://www.tataaia.com/life-insurance-plans/wealth-solutions/smart-fortune-plus.html" TargetMode="External"/><Relationship Id="rId174" Type="http://schemas.openxmlformats.org/officeDocument/2006/relationships/hyperlink" Target="https://www.tataaia.com/life-insurance-plans/wealth-solutions/i-systematic-insurance-plan.html" TargetMode="External"/><Relationship Id="rId38" Type="http://schemas.openxmlformats.org/officeDocument/2006/relationships/hyperlink" Target="https://www.tataaia.com/life-insurance-plans/wealth-solutions/smart-fortune-plus.html" TargetMode="External"/><Relationship Id="rId173" Type="http://schemas.openxmlformats.org/officeDocument/2006/relationships/hyperlink" Target="https://www.tataaia.com/life-insurance-plans/wealth-solutions/i-systematic-insurance-plan.html" TargetMode="External"/><Relationship Id="rId179" Type="http://schemas.openxmlformats.org/officeDocument/2006/relationships/hyperlink" Target="https://www.tataaia.com/life-insurance-plans/wealth-solutions/i-systematic-insurance-plan.html" TargetMode="External"/><Relationship Id="rId178" Type="http://schemas.openxmlformats.org/officeDocument/2006/relationships/hyperlink" Target="https://www.tataaia.com/life-insurance-plans/wealth-solutions/i-systematic-insurance-plan.html" TargetMode="External"/><Relationship Id="rId177" Type="http://schemas.openxmlformats.org/officeDocument/2006/relationships/hyperlink" Target="https://www.tataaia.com/life-insurance-plans/wealth-solutions/i-systematic-insurance-plan.html" TargetMode="External"/><Relationship Id="rId20" Type="http://schemas.openxmlformats.org/officeDocument/2006/relationships/hyperlink" Target="https://www.tataaia.com/tata-aia-life-insurance-fortune-pro.html" TargetMode="External"/><Relationship Id="rId22" Type="http://schemas.openxmlformats.org/officeDocument/2006/relationships/hyperlink" Target="https://www.tataaia.com/tata-aia-life-insurance-fortune-pro.html" TargetMode="External"/><Relationship Id="rId21" Type="http://schemas.openxmlformats.org/officeDocument/2006/relationships/hyperlink" Target="https://www.tataaia.com/tata-aia-life-insurance-fortune-pro.html" TargetMode="External"/><Relationship Id="rId24" Type="http://schemas.openxmlformats.org/officeDocument/2006/relationships/hyperlink" Target="https://www.tataaia.com/tata-aia-life-insurance-fortune-pro.html" TargetMode="External"/><Relationship Id="rId23" Type="http://schemas.openxmlformats.org/officeDocument/2006/relationships/hyperlink" Target="https://www.tataaia.com/tata-aia-life-insurance-fortune-pro.html" TargetMode="External"/><Relationship Id="rId129" Type="http://schemas.openxmlformats.org/officeDocument/2006/relationships/hyperlink" Target="https://www.tataaia.com/life-insurance-plans/term-insurance/sampoorna-raksha-supreme-old.html" TargetMode="External"/><Relationship Id="rId128" Type="http://schemas.openxmlformats.org/officeDocument/2006/relationships/hyperlink" Target="https://www.tataaia.com/life-insurance-plans/term-insurance/sampoorna-raksha-supreme-old.html" TargetMode="External"/><Relationship Id="rId127" Type="http://schemas.openxmlformats.org/officeDocument/2006/relationships/hyperlink" Target="https://www.tataaia.com/life-insurance-plans/term-insurance/sampoorna-raksha-supreme-old.html" TargetMode="External"/><Relationship Id="rId126" Type="http://schemas.openxmlformats.org/officeDocument/2006/relationships/hyperlink" Target="https://www.tataaia.com/life-insurance-plans/term-insurance/sampoorna-raksha-supreme-old.html" TargetMode="External"/><Relationship Id="rId26" Type="http://schemas.openxmlformats.org/officeDocument/2006/relationships/hyperlink" Target="https://www.tataaia.com/tata-aia-life-insurance-fortune-pro.html" TargetMode="External"/><Relationship Id="rId121" Type="http://schemas.openxmlformats.org/officeDocument/2006/relationships/hyperlink" Target="https://www.tataaia.com/life-insurance-plans/term-insurance/sampoorna-raksha-supreme-old.html" TargetMode="External"/><Relationship Id="rId25" Type="http://schemas.openxmlformats.org/officeDocument/2006/relationships/hyperlink" Target="https://www.tataaia.com/tata-aia-life-insurance-fortune-pro.html" TargetMode="External"/><Relationship Id="rId120" Type="http://schemas.openxmlformats.org/officeDocument/2006/relationships/hyperlink" Target="https://www.tataaia.com/life-insurance-plans/term-insurance/sampoorna-raksha-supreme-old.html" TargetMode="External"/><Relationship Id="rId28" Type="http://schemas.openxmlformats.org/officeDocument/2006/relationships/hyperlink" Target="https://www.tataaia.com/tata-aia-life-insurance-fortune-pro.html" TargetMode="External"/><Relationship Id="rId27" Type="http://schemas.openxmlformats.org/officeDocument/2006/relationships/hyperlink" Target="https://www.tataaia.com/tata-aia-life-insurance-fortune-pro.html" TargetMode="External"/><Relationship Id="rId125" Type="http://schemas.openxmlformats.org/officeDocument/2006/relationships/hyperlink" Target="https://www.tataaia.com/life-insurance-plans/term-insurance/sampoorna-raksha-supreme-old.html" TargetMode="External"/><Relationship Id="rId29" Type="http://schemas.openxmlformats.org/officeDocument/2006/relationships/hyperlink" Target="https://www.tataaia.com/tata-aia-life-insurance-fortune-pro.html" TargetMode="External"/><Relationship Id="rId124" Type="http://schemas.openxmlformats.org/officeDocument/2006/relationships/hyperlink" Target="https://www.tataaia.com/life-insurance-plans/term-insurance/sampoorna-raksha-supreme-old.html" TargetMode="External"/><Relationship Id="rId123" Type="http://schemas.openxmlformats.org/officeDocument/2006/relationships/hyperlink" Target="https://www.tataaia.com/life-insurance-plans/term-insurance/sampoorna-raksha-supreme-old.html" TargetMode="External"/><Relationship Id="rId122" Type="http://schemas.openxmlformats.org/officeDocument/2006/relationships/hyperlink" Target="https://www.tataaia.com/life-insurance-plans/term-insurance/sampoorna-raksha-supreme-old.html" TargetMode="External"/><Relationship Id="rId95" Type="http://schemas.openxmlformats.org/officeDocument/2006/relationships/hyperlink" Target="https://www.tataaia.com/life-insurance-plans/term-insurance/sampoorna-raksha-supreme-old.html" TargetMode="External"/><Relationship Id="rId94" Type="http://schemas.openxmlformats.org/officeDocument/2006/relationships/hyperlink" Target="https://www.tataaia.com/life-insurance-plans/term-insurance/sampoorna-raksha-supreme-old.html" TargetMode="External"/><Relationship Id="rId97" Type="http://schemas.openxmlformats.org/officeDocument/2006/relationships/hyperlink" Target="https://www.tataaia.com/life-insurance-plans/term-insurance/sampoorna-raksha-supreme-old.html" TargetMode="External"/><Relationship Id="rId96" Type="http://schemas.openxmlformats.org/officeDocument/2006/relationships/hyperlink" Target="https://www.tataaia.com/life-insurance-plans/term-insurance/sampoorna-raksha-supreme-old.html" TargetMode="External"/><Relationship Id="rId11" Type="http://schemas.openxmlformats.org/officeDocument/2006/relationships/hyperlink" Target="https://www.tataaia.com/tata-aia-life-insurance-fortune-pro.html" TargetMode="External"/><Relationship Id="rId99" Type="http://schemas.openxmlformats.org/officeDocument/2006/relationships/hyperlink" Target="https://www.tataaia.com/life-insurance-plans/term-insurance/sampoorna-raksha-supreme-old.html" TargetMode="External"/><Relationship Id="rId10" Type="http://schemas.openxmlformats.org/officeDocument/2006/relationships/hyperlink" Target="https://www.tataaia.com/tata-aia-life-insurance-fortune-pro.html" TargetMode="External"/><Relationship Id="rId98" Type="http://schemas.openxmlformats.org/officeDocument/2006/relationships/hyperlink" Target="https://www.tataaia.com/life-insurance-plans/term-insurance/sampoorna-raksha-supreme-old.html" TargetMode="External"/><Relationship Id="rId13" Type="http://schemas.openxmlformats.org/officeDocument/2006/relationships/hyperlink" Target="https://www.tataaia.com/tata-aia-life-insurance-fortune-pro.html" TargetMode="External"/><Relationship Id="rId12" Type="http://schemas.openxmlformats.org/officeDocument/2006/relationships/hyperlink" Target="https://www.tataaia.com/tata-aia-life-insurance-fortune-pro.html" TargetMode="External"/><Relationship Id="rId91" Type="http://schemas.openxmlformats.org/officeDocument/2006/relationships/hyperlink" Target="https://www.tataaia.com/life-insurance-plans/term-insurance/sampoorna-raksha-supreme-old.html" TargetMode="External"/><Relationship Id="rId90" Type="http://schemas.openxmlformats.org/officeDocument/2006/relationships/hyperlink" Target="https://www.tataaia.com/life-insurance-plans/term-insurance/sampoorna-raksha-supreme-old.html" TargetMode="External"/><Relationship Id="rId93" Type="http://schemas.openxmlformats.org/officeDocument/2006/relationships/hyperlink" Target="https://www.tataaia.com/life-insurance-plans/term-insurance/sampoorna-raksha-supreme-old.html" TargetMode="External"/><Relationship Id="rId92" Type="http://schemas.openxmlformats.org/officeDocument/2006/relationships/hyperlink" Target="https://www.tataaia.com/life-insurance-plans/term-insurance/sampoorna-raksha-supreme-old.html" TargetMode="External"/><Relationship Id="rId118" Type="http://schemas.openxmlformats.org/officeDocument/2006/relationships/hyperlink" Target="https://www.tataaia.com/life-insurance-plans/term-insurance/sampoorna-raksha-supreme-old.html" TargetMode="External"/><Relationship Id="rId117" Type="http://schemas.openxmlformats.org/officeDocument/2006/relationships/hyperlink" Target="https://www.tataaia.com/life-insurance-plans/term-insurance/sampoorna-raksha-supreme-old.html" TargetMode="External"/><Relationship Id="rId116" Type="http://schemas.openxmlformats.org/officeDocument/2006/relationships/hyperlink" Target="https://www.tataaia.com/life-insurance-plans/term-insurance/sampoorna-raksha-supreme-old.html" TargetMode="External"/><Relationship Id="rId115" Type="http://schemas.openxmlformats.org/officeDocument/2006/relationships/hyperlink" Target="https://www.tataaia.com/life-insurance-plans/term-insurance/sampoorna-raksha-supreme-old.html" TargetMode="External"/><Relationship Id="rId119" Type="http://schemas.openxmlformats.org/officeDocument/2006/relationships/hyperlink" Target="https://www.tataaia.com/life-insurance-plans/term-insurance/sampoorna-raksha-supreme-old.html" TargetMode="External"/><Relationship Id="rId15" Type="http://schemas.openxmlformats.org/officeDocument/2006/relationships/hyperlink" Target="https://www.tataaia.com/tata-aia-life-insurance-fortune-pro.html" TargetMode="External"/><Relationship Id="rId110" Type="http://schemas.openxmlformats.org/officeDocument/2006/relationships/hyperlink" Target="https://www.tataaia.com/life-insurance-plans/term-insurance/sampoorna-raksha-supreme-old.html" TargetMode="External"/><Relationship Id="rId14" Type="http://schemas.openxmlformats.org/officeDocument/2006/relationships/hyperlink" Target="https://www.tataaia.com/tata-aia-life-insurance-fortune-pro.html" TargetMode="External"/><Relationship Id="rId17" Type="http://schemas.openxmlformats.org/officeDocument/2006/relationships/hyperlink" Target="https://www.tataaia.com/tata-aia-life-insurance-fortune-pro.html" TargetMode="External"/><Relationship Id="rId16" Type="http://schemas.openxmlformats.org/officeDocument/2006/relationships/hyperlink" Target="https://www.tataaia.com/tata-aia-life-insurance-fortune-pro.html" TargetMode="External"/><Relationship Id="rId19" Type="http://schemas.openxmlformats.org/officeDocument/2006/relationships/hyperlink" Target="https://www.tataaia.com/tata-aia-life-insurance-fortune-pro.html" TargetMode="External"/><Relationship Id="rId114" Type="http://schemas.openxmlformats.org/officeDocument/2006/relationships/hyperlink" Target="https://www.tataaia.com/life-insurance-plans/term-insurance/sampoorna-raksha-supreme-old.html" TargetMode="External"/><Relationship Id="rId18" Type="http://schemas.openxmlformats.org/officeDocument/2006/relationships/hyperlink" Target="https://www.tataaia.com/tata-aia-life-insurance-fortune-pro.html" TargetMode="External"/><Relationship Id="rId113" Type="http://schemas.openxmlformats.org/officeDocument/2006/relationships/hyperlink" Target="https://www.tataaia.com/life-insurance-plans/term-insurance/sampoorna-raksha-supreme-old.html" TargetMode="External"/><Relationship Id="rId112" Type="http://schemas.openxmlformats.org/officeDocument/2006/relationships/hyperlink" Target="https://www.tataaia.com/life-insurance-plans/term-insurance/sampoorna-raksha-supreme-old.html" TargetMode="External"/><Relationship Id="rId111" Type="http://schemas.openxmlformats.org/officeDocument/2006/relationships/hyperlink" Target="https://www.tataaia.com/life-insurance-plans/term-insurance/sampoorna-raksha-supreme-old.html" TargetMode="External"/><Relationship Id="rId84" Type="http://schemas.openxmlformats.org/officeDocument/2006/relationships/hyperlink" Target="https://www.tataaia.com/life-insurance-plans/wealth-solutions/smart-sip.html" TargetMode="External"/><Relationship Id="rId83" Type="http://schemas.openxmlformats.org/officeDocument/2006/relationships/hyperlink" Target="https://www.tataaia.com/life-insurance-plans/wealth-solutions/smart-sip.html" TargetMode="External"/><Relationship Id="rId86" Type="http://schemas.openxmlformats.org/officeDocument/2006/relationships/hyperlink" Target="https://www.tataaia.com/life-insurance-plans/term-insurance/sampoorna-raksha-supreme-old.html" TargetMode="External"/><Relationship Id="rId85" Type="http://schemas.openxmlformats.org/officeDocument/2006/relationships/hyperlink" Target="https://www.tataaia.com/life-insurance-plans/wealth-solutions/smart-sip.html" TargetMode="External"/><Relationship Id="rId88" Type="http://schemas.openxmlformats.org/officeDocument/2006/relationships/hyperlink" Target="https://www.tataaia.com/life-insurance-plans/term-insurance/sampoorna-raksha-supreme-old.html" TargetMode="External"/><Relationship Id="rId150" Type="http://schemas.openxmlformats.org/officeDocument/2006/relationships/hyperlink" Target="https://www.tataaia.com/life-insurance-plans/wealth-solutions/i-systematic-insurance-plan.html" TargetMode="External"/><Relationship Id="rId87" Type="http://schemas.openxmlformats.org/officeDocument/2006/relationships/hyperlink" Target="https://www.tataaia.com/life-insurance-plans/term-insurance/sampoorna-raksha-supreme-old.html" TargetMode="External"/><Relationship Id="rId89" Type="http://schemas.openxmlformats.org/officeDocument/2006/relationships/hyperlink" Target="https://www.tataaia.com/life-insurance-plans/term-insurance/sampoorna-raksha-supreme-old.html" TargetMode="External"/><Relationship Id="rId80" Type="http://schemas.openxmlformats.org/officeDocument/2006/relationships/hyperlink" Target="https://www.tataaia.com/life-insurance-plans/wealth-solutions/smart-sip.html" TargetMode="External"/><Relationship Id="rId82" Type="http://schemas.openxmlformats.org/officeDocument/2006/relationships/hyperlink" Target="https://www.tataaia.com/life-insurance-plans/wealth-solutions/smart-sip.html" TargetMode="External"/><Relationship Id="rId81" Type="http://schemas.openxmlformats.org/officeDocument/2006/relationships/hyperlink" Target="https://www.tataaia.com/life-insurance-plans/wealth-solutions/smart-sip.html" TargetMode="External"/><Relationship Id="rId1" Type="http://schemas.openxmlformats.org/officeDocument/2006/relationships/hyperlink" Target="https://www.tataaia.com/tata-aia-life-insurance-fortune-pro.html" TargetMode="External"/><Relationship Id="rId2" Type="http://schemas.openxmlformats.org/officeDocument/2006/relationships/hyperlink" Target="https://www.tataaia.com/tata-aia-life-insurance-fortune-pro.html" TargetMode="External"/><Relationship Id="rId3" Type="http://schemas.openxmlformats.org/officeDocument/2006/relationships/hyperlink" Target="https://www.tataaia.com/tata-aia-life-insurance-fortune-pro.html" TargetMode="External"/><Relationship Id="rId149" Type="http://schemas.openxmlformats.org/officeDocument/2006/relationships/hyperlink" Target="https://www.tataaia.com/life-insurance-plans/wealth-solutions/i-systematic-insurance-plan.html" TargetMode="External"/><Relationship Id="rId4" Type="http://schemas.openxmlformats.org/officeDocument/2006/relationships/hyperlink" Target="https://www.tataaia.com/tata-aia-life-insurance-fortune-pro.html" TargetMode="External"/><Relationship Id="rId148" Type="http://schemas.openxmlformats.org/officeDocument/2006/relationships/hyperlink" Target="https://www.tataaia.com/life-insurance-plans/wealth-solutions/i-systematic-insurance-plan.html" TargetMode="External"/><Relationship Id="rId9" Type="http://schemas.openxmlformats.org/officeDocument/2006/relationships/hyperlink" Target="https://www.tataaia.com/tata-aia-life-insurance-fortune-pro.html" TargetMode="External"/><Relationship Id="rId143" Type="http://schemas.openxmlformats.org/officeDocument/2006/relationships/hyperlink" Target="https://www.tataaia.com/life-insurance-plans/term-insurance/sampoorna-raksha-supreme-old.html" TargetMode="External"/><Relationship Id="rId142" Type="http://schemas.openxmlformats.org/officeDocument/2006/relationships/hyperlink" Target="https://www.tataaia.com/life-insurance-plans/term-insurance/sampoorna-raksha-supreme-old.html" TargetMode="External"/><Relationship Id="rId141" Type="http://schemas.openxmlformats.org/officeDocument/2006/relationships/hyperlink" Target="https://www.tataaia.com/life-insurance-plans/term-insurance/sampoorna-raksha-supreme-old.html" TargetMode="External"/><Relationship Id="rId140" Type="http://schemas.openxmlformats.org/officeDocument/2006/relationships/hyperlink" Target="https://www.tataaia.com/life-insurance-plans/term-insurance/sampoorna-raksha-supreme-old.html" TargetMode="External"/><Relationship Id="rId5" Type="http://schemas.openxmlformats.org/officeDocument/2006/relationships/hyperlink" Target="https://www.tataaia.com/tata-aia-life-insurance-fortune-pro.html" TargetMode="External"/><Relationship Id="rId147" Type="http://schemas.openxmlformats.org/officeDocument/2006/relationships/hyperlink" Target="https://www.tataaia.com/life-insurance-plans/term-insurance/sampoorna-raksha-supreme-old.html" TargetMode="External"/><Relationship Id="rId6" Type="http://schemas.openxmlformats.org/officeDocument/2006/relationships/hyperlink" Target="https://www.tataaia.com/tata-aia-life-insurance-fortune-pro.html" TargetMode="External"/><Relationship Id="rId146" Type="http://schemas.openxmlformats.org/officeDocument/2006/relationships/hyperlink" Target="https://www.tataaia.com/life-insurance-plans/term-insurance/sampoorna-raksha-supreme-old.html" TargetMode="External"/><Relationship Id="rId7" Type="http://schemas.openxmlformats.org/officeDocument/2006/relationships/hyperlink" Target="https://www.tataaia.com/tata-aia-life-insurance-fortune-pro.html" TargetMode="External"/><Relationship Id="rId145" Type="http://schemas.openxmlformats.org/officeDocument/2006/relationships/hyperlink" Target="https://www.tataaia.com/life-insurance-plans/term-insurance/sampoorna-raksha-supreme-old.html" TargetMode="External"/><Relationship Id="rId8" Type="http://schemas.openxmlformats.org/officeDocument/2006/relationships/hyperlink" Target="https://www.tataaia.com/tata-aia-life-insurance-fortune-pro.html" TargetMode="External"/><Relationship Id="rId144" Type="http://schemas.openxmlformats.org/officeDocument/2006/relationships/hyperlink" Target="https://www.tataaia.com/life-insurance-plans/term-insurance/sampoorna-raksha-supreme-old.html" TargetMode="External"/><Relationship Id="rId73" Type="http://schemas.openxmlformats.org/officeDocument/2006/relationships/hyperlink" Target="https://www.tataaia.com/life-insurance-plans/wealth-solutions/smart-sip.html" TargetMode="External"/><Relationship Id="rId72" Type="http://schemas.openxmlformats.org/officeDocument/2006/relationships/hyperlink" Target="https://www.tataaia.com/life-insurance-plans/wealth-solutions/smart-sip.html" TargetMode="External"/><Relationship Id="rId75" Type="http://schemas.openxmlformats.org/officeDocument/2006/relationships/hyperlink" Target="https://www.tataaia.com/life-insurance-plans/wealth-solutions/smart-sip.html" TargetMode="External"/><Relationship Id="rId74" Type="http://schemas.openxmlformats.org/officeDocument/2006/relationships/hyperlink" Target="https://www.tataaia.com/life-insurance-plans/wealth-solutions/smart-sip.html" TargetMode="External"/><Relationship Id="rId77" Type="http://schemas.openxmlformats.org/officeDocument/2006/relationships/hyperlink" Target="https://www.tataaia.com/life-insurance-plans/wealth-solutions/smart-sip.html" TargetMode="External"/><Relationship Id="rId76" Type="http://schemas.openxmlformats.org/officeDocument/2006/relationships/hyperlink" Target="https://www.tataaia.com/life-insurance-plans/wealth-solutions/smart-sip.html" TargetMode="External"/><Relationship Id="rId79" Type="http://schemas.openxmlformats.org/officeDocument/2006/relationships/hyperlink" Target="https://www.tataaia.com/life-insurance-plans/wealth-solutions/smart-sip.html" TargetMode="External"/><Relationship Id="rId78" Type="http://schemas.openxmlformats.org/officeDocument/2006/relationships/hyperlink" Target="https://www.tataaia.com/life-insurance-plans/wealth-solutions/smart-sip.html" TargetMode="External"/><Relationship Id="rId71" Type="http://schemas.openxmlformats.org/officeDocument/2006/relationships/hyperlink" Target="https://www.tataaia.com/life-insurance-plans/wealth-solutions/smart-sip.html" TargetMode="External"/><Relationship Id="rId70" Type="http://schemas.openxmlformats.org/officeDocument/2006/relationships/hyperlink" Target="https://www.tataaia.com/life-insurance-plans/wealth-solutions/smart-sip.html" TargetMode="External"/><Relationship Id="rId139" Type="http://schemas.openxmlformats.org/officeDocument/2006/relationships/hyperlink" Target="https://www.tataaia.com/life-insurance-plans/term-insurance/sampoorna-raksha-supreme-old.html" TargetMode="External"/><Relationship Id="rId138" Type="http://schemas.openxmlformats.org/officeDocument/2006/relationships/hyperlink" Target="https://www.tataaia.com/life-insurance-plans/term-insurance/sampoorna-raksha-supreme-old.html" TargetMode="External"/><Relationship Id="rId137" Type="http://schemas.openxmlformats.org/officeDocument/2006/relationships/hyperlink" Target="https://www.tataaia.com/life-insurance-plans/term-insurance/sampoorna-raksha-supreme-old.html" TargetMode="External"/><Relationship Id="rId132" Type="http://schemas.openxmlformats.org/officeDocument/2006/relationships/hyperlink" Target="https://www.tataaia.com/life-insurance-plans/term-insurance/sampoorna-raksha-supreme-old.html" TargetMode="External"/><Relationship Id="rId131" Type="http://schemas.openxmlformats.org/officeDocument/2006/relationships/hyperlink" Target="https://www.tataaia.com/life-insurance-plans/term-insurance/sampoorna-raksha-supreme-old.html" TargetMode="External"/><Relationship Id="rId130" Type="http://schemas.openxmlformats.org/officeDocument/2006/relationships/hyperlink" Target="https://www.tataaia.com/life-insurance-plans/term-insurance/sampoorna-raksha-supreme-old.html" TargetMode="External"/><Relationship Id="rId136" Type="http://schemas.openxmlformats.org/officeDocument/2006/relationships/hyperlink" Target="https://www.tataaia.com/life-insurance-plans/term-insurance/sampoorna-raksha-supreme-old.html" TargetMode="External"/><Relationship Id="rId135" Type="http://schemas.openxmlformats.org/officeDocument/2006/relationships/hyperlink" Target="https://www.tataaia.com/life-insurance-plans/term-insurance/sampoorna-raksha-supreme-old.html" TargetMode="External"/><Relationship Id="rId134" Type="http://schemas.openxmlformats.org/officeDocument/2006/relationships/hyperlink" Target="https://www.tataaia.com/life-insurance-plans/term-insurance/sampoorna-raksha-supreme-old.html" TargetMode="External"/><Relationship Id="rId133" Type="http://schemas.openxmlformats.org/officeDocument/2006/relationships/hyperlink" Target="https://www.tataaia.com/life-insurance-plans/term-insurance/sampoorna-raksha-supreme-old.html" TargetMode="External"/><Relationship Id="rId62" Type="http://schemas.openxmlformats.org/officeDocument/2006/relationships/hyperlink" Target="https://www.tataaia.com/life-insurance-plans/wealth-solutions/smart-fortune-plus.html" TargetMode="External"/><Relationship Id="rId61" Type="http://schemas.openxmlformats.org/officeDocument/2006/relationships/hyperlink" Target="https://www.tataaia.com/life-insurance-plans/wealth-solutions/smart-fortune-plus.html" TargetMode="External"/><Relationship Id="rId64" Type="http://schemas.openxmlformats.org/officeDocument/2006/relationships/hyperlink" Target="https://www.tataaia.com/life-insurance-plans/wealth-solutions/smart-sip.html" TargetMode="External"/><Relationship Id="rId63" Type="http://schemas.openxmlformats.org/officeDocument/2006/relationships/hyperlink" Target="https://www.tataaia.com/life-insurance-plans/wealth-solutions/smart-sip.html" TargetMode="External"/><Relationship Id="rId66" Type="http://schemas.openxmlformats.org/officeDocument/2006/relationships/hyperlink" Target="https://www.tataaia.com/life-insurance-plans/wealth-solutions/smart-sip.html" TargetMode="External"/><Relationship Id="rId172" Type="http://schemas.openxmlformats.org/officeDocument/2006/relationships/hyperlink" Target="https://www.tataaia.com/life-insurance-plans/wealth-solutions/i-systematic-insurance-plan.html" TargetMode="External"/><Relationship Id="rId65" Type="http://schemas.openxmlformats.org/officeDocument/2006/relationships/hyperlink" Target="https://www.tataaia.com/life-insurance-plans/wealth-solutions/smart-sip.html" TargetMode="External"/><Relationship Id="rId171" Type="http://schemas.openxmlformats.org/officeDocument/2006/relationships/hyperlink" Target="https://www.tataaia.com/life-insurance-plans/wealth-solutions/i-systematic-insurance-plan.html" TargetMode="External"/><Relationship Id="rId68" Type="http://schemas.openxmlformats.org/officeDocument/2006/relationships/hyperlink" Target="https://www.tataaia.com/life-insurance-plans/wealth-solutions/smart-sip.html" TargetMode="External"/><Relationship Id="rId170" Type="http://schemas.openxmlformats.org/officeDocument/2006/relationships/hyperlink" Target="https://www.tataaia.com/life-insurance-plans/wealth-solutions/i-systematic-insurance-plan.html" TargetMode="External"/><Relationship Id="rId67" Type="http://schemas.openxmlformats.org/officeDocument/2006/relationships/hyperlink" Target="https://www.tataaia.com/life-insurance-plans/wealth-solutions/smart-sip.html" TargetMode="External"/><Relationship Id="rId60" Type="http://schemas.openxmlformats.org/officeDocument/2006/relationships/hyperlink" Target="https://www.tataaia.com/life-insurance-plans/wealth-solutions/smart-fortune-plus.html" TargetMode="External"/><Relationship Id="rId165" Type="http://schemas.openxmlformats.org/officeDocument/2006/relationships/hyperlink" Target="https://www.tataaia.com/life-insurance-plans/wealth-solutions/i-systematic-insurance-plan.html" TargetMode="External"/><Relationship Id="rId69" Type="http://schemas.openxmlformats.org/officeDocument/2006/relationships/hyperlink" Target="https://www.tataaia.com/life-insurance-plans/wealth-solutions/smart-sip.html" TargetMode="External"/><Relationship Id="rId164" Type="http://schemas.openxmlformats.org/officeDocument/2006/relationships/hyperlink" Target="https://www.tataaia.com/life-insurance-plans/wealth-solutions/i-systematic-insurance-plan.html" TargetMode="External"/><Relationship Id="rId163" Type="http://schemas.openxmlformats.org/officeDocument/2006/relationships/hyperlink" Target="https://www.tataaia.com/life-insurance-plans/wealth-solutions/i-systematic-insurance-plan.html" TargetMode="External"/><Relationship Id="rId162" Type="http://schemas.openxmlformats.org/officeDocument/2006/relationships/hyperlink" Target="https://www.tataaia.com/life-insurance-plans/wealth-solutions/i-systematic-insurance-plan.html" TargetMode="External"/><Relationship Id="rId169" Type="http://schemas.openxmlformats.org/officeDocument/2006/relationships/hyperlink" Target="https://www.tataaia.com/life-insurance-plans/wealth-solutions/i-systematic-insurance-plan.html" TargetMode="External"/><Relationship Id="rId168" Type="http://schemas.openxmlformats.org/officeDocument/2006/relationships/hyperlink" Target="https://www.tataaia.com/life-insurance-plans/wealth-solutions/i-systematic-insurance-plan.html" TargetMode="External"/><Relationship Id="rId167" Type="http://schemas.openxmlformats.org/officeDocument/2006/relationships/hyperlink" Target="https://www.tataaia.com/life-insurance-plans/wealth-solutions/i-systematic-insurance-plan.html" TargetMode="External"/><Relationship Id="rId166" Type="http://schemas.openxmlformats.org/officeDocument/2006/relationships/hyperlink" Target="https://www.tataaia.com/life-insurance-plans/wealth-solutions/i-systematic-insurance-plan.html" TargetMode="External"/><Relationship Id="rId51" Type="http://schemas.openxmlformats.org/officeDocument/2006/relationships/hyperlink" Target="https://www.tataaia.com/life-insurance-plans/wealth-solutions/smart-fortune-plus.html" TargetMode="External"/><Relationship Id="rId50" Type="http://schemas.openxmlformats.org/officeDocument/2006/relationships/hyperlink" Target="https://www.tataaia.com/life-insurance-plans/wealth-solutions/smart-fortune-plus.html" TargetMode="External"/><Relationship Id="rId53" Type="http://schemas.openxmlformats.org/officeDocument/2006/relationships/hyperlink" Target="https://www.tataaia.com/life-insurance-plans/wealth-solutions/smart-fortune-plus.html" TargetMode="External"/><Relationship Id="rId52" Type="http://schemas.openxmlformats.org/officeDocument/2006/relationships/hyperlink" Target="https://www.tataaia.com/life-insurance-plans/wealth-solutions/smart-fortune-plus.html" TargetMode="External"/><Relationship Id="rId55" Type="http://schemas.openxmlformats.org/officeDocument/2006/relationships/hyperlink" Target="https://www.tataaia.com/life-insurance-plans/wealth-solutions/smart-fortune-plus.html" TargetMode="External"/><Relationship Id="rId161" Type="http://schemas.openxmlformats.org/officeDocument/2006/relationships/hyperlink" Target="https://www.tataaia.com/life-insurance-plans/wealth-solutions/i-systematic-insurance-plan.html" TargetMode="External"/><Relationship Id="rId54" Type="http://schemas.openxmlformats.org/officeDocument/2006/relationships/hyperlink" Target="https://www.tataaia.com/life-insurance-plans/wealth-solutions/smart-fortune-plus.html" TargetMode="External"/><Relationship Id="rId160" Type="http://schemas.openxmlformats.org/officeDocument/2006/relationships/hyperlink" Target="https://www.tataaia.com/life-insurance-plans/wealth-solutions/i-systematic-insurance-plan.html" TargetMode="External"/><Relationship Id="rId57" Type="http://schemas.openxmlformats.org/officeDocument/2006/relationships/hyperlink" Target="https://www.tataaia.com/life-insurance-plans/wealth-solutions/smart-fortune-plus.html" TargetMode="External"/><Relationship Id="rId56" Type="http://schemas.openxmlformats.org/officeDocument/2006/relationships/hyperlink" Target="https://www.tataaia.com/life-insurance-plans/wealth-solutions/smart-fortune-plus.html" TargetMode="External"/><Relationship Id="rId159" Type="http://schemas.openxmlformats.org/officeDocument/2006/relationships/hyperlink" Target="https://www.tataaia.com/life-insurance-plans/wealth-solutions/i-systematic-insurance-plan.html" TargetMode="External"/><Relationship Id="rId59" Type="http://schemas.openxmlformats.org/officeDocument/2006/relationships/hyperlink" Target="https://www.tataaia.com/life-insurance-plans/wealth-solutions/smart-fortune-plus.html" TargetMode="External"/><Relationship Id="rId154" Type="http://schemas.openxmlformats.org/officeDocument/2006/relationships/hyperlink" Target="https://www.tataaia.com/life-insurance-plans/wealth-solutions/i-systematic-insurance-plan.html" TargetMode="External"/><Relationship Id="rId58" Type="http://schemas.openxmlformats.org/officeDocument/2006/relationships/hyperlink" Target="https://www.tataaia.com/life-insurance-plans/wealth-solutions/smart-fortune-plus.html" TargetMode="External"/><Relationship Id="rId153" Type="http://schemas.openxmlformats.org/officeDocument/2006/relationships/hyperlink" Target="https://www.tataaia.com/life-insurance-plans/wealth-solutions/i-systematic-insurance-plan.html" TargetMode="External"/><Relationship Id="rId152" Type="http://schemas.openxmlformats.org/officeDocument/2006/relationships/hyperlink" Target="https://www.tataaia.com/life-insurance-plans/wealth-solutions/i-systematic-insurance-plan.html" TargetMode="External"/><Relationship Id="rId151" Type="http://schemas.openxmlformats.org/officeDocument/2006/relationships/hyperlink" Target="https://www.tataaia.com/life-insurance-plans/wealth-solutions/i-systematic-insurance-plan.html" TargetMode="External"/><Relationship Id="rId158" Type="http://schemas.openxmlformats.org/officeDocument/2006/relationships/hyperlink" Target="https://www.tataaia.com/life-insurance-plans/wealth-solutions/i-systematic-insurance-plan.html" TargetMode="External"/><Relationship Id="rId157" Type="http://schemas.openxmlformats.org/officeDocument/2006/relationships/hyperlink" Target="https://www.tataaia.com/life-insurance-plans/wealth-solutions/i-systematic-insurance-plan.html" TargetMode="External"/><Relationship Id="rId156" Type="http://schemas.openxmlformats.org/officeDocument/2006/relationships/hyperlink" Target="https://www.tataaia.com/life-insurance-plans/wealth-solutions/i-systematic-insurance-plan.html" TargetMode="External"/><Relationship Id="rId155" Type="http://schemas.openxmlformats.org/officeDocument/2006/relationships/hyperlink" Target="https://www.tataaia.com/life-insurance-plans/wealth-solutions/i-systematic-insurance-plan.html"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iciciprulife.com/content/dam/icicipru/brochures/ICICI_Pru_Signature_Online_Brochure.pdf" TargetMode="External"/><Relationship Id="rId190" Type="http://schemas.openxmlformats.org/officeDocument/2006/relationships/hyperlink" Target="https://www.iciciprulife.com/content/dam/icicipru/brochures/ICICI_Pru_Smart_Goal_Assure_Brochure.pdf" TargetMode="External"/><Relationship Id="rId42" Type="http://schemas.openxmlformats.org/officeDocument/2006/relationships/hyperlink" Target="https://www.iciciprulife.com/content/dam/icicipru/brochures/ICICI_Pru_Signature_Online_Brochure.pdf" TargetMode="External"/><Relationship Id="rId41" Type="http://schemas.openxmlformats.org/officeDocument/2006/relationships/hyperlink" Target="https://www.iciciprulife.com/content/dam/icicipru/brochures/ICICI_Pru_Signature_Online_Brochure.pdf" TargetMode="External"/><Relationship Id="rId44" Type="http://schemas.openxmlformats.org/officeDocument/2006/relationships/hyperlink" Target="https://www.iciciprulife.com/content/dam/icicipru/brochures/ICICI_Pru_Signature_Online_Brochure.pdf" TargetMode="External"/><Relationship Id="rId194" Type="http://schemas.openxmlformats.org/officeDocument/2006/relationships/hyperlink" Target="https://www.iciciprulife.com/content/dam/icicipru/brochures/ICICI-Pru-Wealth-Elite-Pro.pdf" TargetMode="External"/><Relationship Id="rId43" Type="http://schemas.openxmlformats.org/officeDocument/2006/relationships/hyperlink" Target="https://www.iciciprulife.com/content/dam/icicipru/brochures/ICICI_Pru_Signature_Online_Brochure.pdf" TargetMode="External"/><Relationship Id="rId193" Type="http://schemas.openxmlformats.org/officeDocument/2006/relationships/hyperlink" Target="https://www.iciciprulife.com/content/dam/icicipru/brochures/ICICI-Pru-Wealth-Elite-Pro.pdf" TargetMode="External"/><Relationship Id="rId46" Type="http://schemas.openxmlformats.org/officeDocument/2006/relationships/hyperlink" Target="https://www.iciciprulife.com/content/dam/icicipru/brochures/ICICI_Pru_Signature_Online_Brochure.pdf" TargetMode="External"/><Relationship Id="rId192" Type="http://schemas.openxmlformats.org/officeDocument/2006/relationships/hyperlink" Target="https://www.iciciprulife.com/content/dam/icicipru/brochures/ICICI-Pru-Wealth-Elite-Pro.pdf" TargetMode="External"/><Relationship Id="rId45" Type="http://schemas.openxmlformats.org/officeDocument/2006/relationships/hyperlink" Target="https://www.iciciprulife.com/content/dam/icicipru/brochures/ICICI_Pru_Signature_Online_Brochure.pdf" TargetMode="External"/><Relationship Id="rId191" Type="http://schemas.openxmlformats.org/officeDocument/2006/relationships/hyperlink" Target="https://www.iciciprulife.com/content/dam/icicipru/brochures/ICICI_Pru_Smart_Goal_Assure_Brochure.pdf" TargetMode="External"/><Relationship Id="rId48" Type="http://schemas.openxmlformats.org/officeDocument/2006/relationships/hyperlink" Target="https://www.iciciprulife.com/content/dam/icicipru/brochures/ICICI_Pru_Signature_Online_Brochure.pdf" TargetMode="External"/><Relationship Id="rId187" Type="http://schemas.openxmlformats.org/officeDocument/2006/relationships/hyperlink" Target="https://www.iciciprulife.com/content/dam/icicipru/brochures/ICICI_Pru_Smart_Goal_Assure_Brochure.pdf" TargetMode="External"/><Relationship Id="rId47" Type="http://schemas.openxmlformats.org/officeDocument/2006/relationships/hyperlink" Target="https://www.iciciprulife.com/content/dam/icicipru/brochures/ICICI_Pru_Signature_Online_Brochure.pdf" TargetMode="External"/><Relationship Id="rId186" Type="http://schemas.openxmlformats.org/officeDocument/2006/relationships/hyperlink" Target="https://www.iciciprulife.com/content/dam/icicipru/brochures/ICICI_Pru_Smart_Goal_Assure_Brochure.pdf" TargetMode="External"/><Relationship Id="rId185" Type="http://schemas.openxmlformats.org/officeDocument/2006/relationships/hyperlink" Target="https://www.iciciprulife.com/content/dam/icicipru/brochures/ICICI_Pru_Smart_Goal_Assure_Brochure.pdf" TargetMode="External"/><Relationship Id="rId49" Type="http://schemas.openxmlformats.org/officeDocument/2006/relationships/hyperlink" Target="https://www.iciciprulife.com/content/dam/icicipru/brochures/ICICI_Pru_Signature_Online_Brochure.pdf" TargetMode="External"/><Relationship Id="rId184" Type="http://schemas.openxmlformats.org/officeDocument/2006/relationships/hyperlink" Target="https://www.iciciprulife.com/content/dam/icicipru/brochures/ICICI_Pru_Smart_Goal_Assure_Brochure.pdf" TargetMode="External"/><Relationship Id="rId189" Type="http://schemas.openxmlformats.org/officeDocument/2006/relationships/hyperlink" Target="https://www.iciciprulife.com/content/dam/icicipru/brochures/ICICI_Pru_Smart_Goal_Assure_Brochure.pdf" TargetMode="External"/><Relationship Id="rId188" Type="http://schemas.openxmlformats.org/officeDocument/2006/relationships/hyperlink" Target="https://www.iciciprulife.com/content/dam/icicipru/brochures/ICICI_Pru_Smart_Goal_Assure_Brochure.pdf" TargetMode="External"/><Relationship Id="rId31" Type="http://schemas.openxmlformats.org/officeDocument/2006/relationships/hyperlink" Target="https://www.iciciprulife.com/content/dam/icicipru/brochures/ICICI_Pru_SIP_Plus_Brochure.pdf" TargetMode="External"/><Relationship Id="rId30" Type="http://schemas.openxmlformats.org/officeDocument/2006/relationships/hyperlink" Target="https://www.iciciprulife.com/content/dam/icicipru/brochures/ICICI_Pru_SIP_Plus_Brochure.pdf" TargetMode="External"/><Relationship Id="rId33" Type="http://schemas.openxmlformats.org/officeDocument/2006/relationships/hyperlink" Target="https://www.iciciprulife.com/content/dam/icicipru/brochures/ICICI_Pru_Signature_Online_Brochure.pdf" TargetMode="External"/><Relationship Id="rId183" Type="http://schemas.openxmlformats.org/officeDocument/2006/relationships/hyperlink" Target="https://www.iciciprulife.com/content/dam/icicipru/brochures/ICICI_Pru_Smart_Goal_Assure_Brochure.pdf" TargetMode="External"/><Relationship Id="rId32" Type="http://schemas.openxmlformats.org/officeDocument/2006/relationships/hyperlink" Target="https://www.iciciprulife.com/content/dam/icicipru/brochures/ICICI_Pru_SIP_Plus_Brochure.pdf" TargetMode="External"/><Relationship Id="rId182" Type="http://schemas.openxmlformats.org/officeDocument/2006/relationships/hyperlink" Target="https://www.iciciprulife.com/content/dam/icicipru/brochures/ICICI_Pru_Smart_Goal_Assure_Brochure.pdf" TargetMode="External"/><Relationship Id="rId35" Type="http://schemas.openxmlformats.org/officeDocument/2006/relationships/hyperlink" Target="https://www.iciciprulife.com/content/dam/icicipru/brochures/ICICI_Pru_Signature_Online_Brochure.pdf" TargetMode="External"/><Relationship Id="rId181" Type="http://schemas.openxmlformats.org/officeDocument/2006/relationships/hyperlink" Target="https://www.iciciprulife.com/content/dam/icicipru/brochures/ICICI_Pru_Smart_Goal_Assure_Brochure.pdf" TargetMode="External"/><Relationship Id="rId34" Type="http://schemas.openxmlformats.org/officeDocument/2006/relationships/hyperlink" Target="https://www.iciciprulife.com/content/dam/icicipru/brochures/ICICI_Pru_Signature_Online_Brochure.pdf" TargetMode="External"/><Relationship Id="rId180" Type="http://schemas.openxmlformats.org/officeDocument/2006/relationships/hyperlink" Target="https://www.iciciprulife.com/content/dam/icicipru/brochures/ICICI_Pru_Smart_Goal_Assure_Brochure.pdf" TargetMode="External"/><Relationship Id="rId37" Type="http://schemas.openxmlformats.org/officeDocument/2006/relationships/hyperlink" Target="https://www.iciciprulife.com/content/dam/icicipru/brochures/ICICI_Pru_Signature_Online_Brochure.pdf" TargetMode="External"/><Relationship Id="rId176" Type="http://schemas.openxmlformats.org/officeDocument/2006/relationships/hyperlink" Target="https://www.iciciprulife.com/content/dam/icicipru/brochures/ICICI_Pru_Smart_Goal_Assure_Brochure.pdf" TargetMode="External"/><Relationship Id="rId36" Type="http://schemas.openxmlformats.org/officeDocument/2006/relationships/hyperlink" Target="https://www.iciciprulife.com/content/dam/icicipru/brochures/ICICI_Pru_Signature_Online_Brochure.pdf" TargetMode="External"/><Relationship Id="rId175" Type="http://schemas.openxmlformats.org/officeDocument/2006/relationships/hyperlink" Target="https://www.iciciprulife.com/content/dam/icicipru/brochures/ICICI_Pru_Smart_Goal_Assure_Brochure.pdf" TargetMode="External"/><Relationship Id="rId39" Type="http://schemas.openxmlformats.org/officeDocument/2006/relationships/hyperlink" Target="https://www.iciciprulife.com/content/dam/icicipru/brochures/ICICI_Pru_Signature_Online_Brochure.pdf" TargetMode="External"/><Relationship Id="rId174" Type="http://schemas.openxmlformats.org/officeDocument/2006/relationships/hyperlink" Target="https://www.iciciprulife.com/content/dam/icicipru/brochures/ICICI_Pru_Smart_Goal_Assure_Brochure.pdf" TargetMode="External"/><Relationship Id="rId38" Type="http://schemas.openxmlformats.org/officeDocument/2006/relationships/hyperlink" Target="https://www.iciciprulife.com/content/dam/icicipru/brochures/ICICI_Pru_Signature_Online_Brochure.pdf" TargetMode="External"/><Relationship Id="rId173" Type="http://schemas.openxmlformats.org/officeDocument/2006/relationships/hyperlink" Target="https://www.iciciprulife.com/content/dam/icicipru/brochures/ICICI_Pru_Smart_Goal_Assure_Brochure.pdf" TargetMode="External"/><Relationship Id="rId179" Type="http://schemas.openxmlformats.org/officeDocument/2006/relationships/hyperlink" Target="https://www.iciciprulife.com/content/dam/icicipru/brochures/ICICI_Pru_Smart_Goal_Assure_Brochure.pdf" TargetMode="External"/><Relationship Id="rId178" Type="http://schemas.openxmlformats.org/officeDocument/2006/relationships/hyperlink" Target="https://www.iciciprulife.com/content/dam/icicipru/brochures/ICICI_Pru_Smart_Goal_Assure_Brochure.pdf" TargetMode="External"/><Relationship Id="rId177" Type="http://schemas.openxmlformats.org/officeDocument/2006/relationships/hyperlink" Target="https://www.iciciprulife.com/content/dam/icicipru/brochures/ICICI_Pru_Smart_Goal_Assure_Brochure.pdf" TargetMode="External"/><Relationship Id="rId20" Type="http://schemas.openxmlformats.org/officeDocument/2006/relationships/hyperlink" Target="https://www.iciciprulife.com/content/dam/icicipru/brochures/ICICI_Pru_SIP_Plus_Brochure.pdf" TargetMode="External"/><Relationship Id="rId22" Type="http://schemas.openxmlformats.org/officeDocument/2006/relationships/hyperlink" Target="https://www.iciciprulife.com/content/dam/icicipru/brochures/ICICI_Pru_SIP_Plus_Brochure.pdf" TargetMode="External"/><Relationship Id="rId21" Type="http://schemas.openxmlformats.org/officeDocument/2006/relationships/hyperlink" Target="https://www.iciciprulife.com/content/dam/icicipru/brochures/ICICI_Pru_SIP_Plus_Brochure.pdf" TargetMode="External"/><Relationship Id="rId24" Type="http://schemas.openxmlformats.org/officeDocument/2006/relationships/hyperlink" Target="https://www.iciciprulife.com/content/dam/icicipru/brochures/ICICI_Pru_SIP_Plus_Brochure.pdf" TargetMode="External"/><Relationship Id="rId23" Type="http://schemas.openxmlformats.org/officeDocument/2006/relationships/hyperlink" Target="https://www.iciciprulife.com/content/dam/icicipru/brochures/ICICI_Pru_SIP_Plus_Brochure.pdf" TargetMode="External"/><Relationship Id="rId26" Type="http://schemas.openxmlformats.org/officeDocument/2006/relationships/hyperlink" Target="https://www.iciciprulife.com/content/dam/icicipru/brochures/ICICI_Pru_SIP_Plus_Brochure.pdf" TargetMode="External"/><Relationship Id="rId25" Type="http://schemas.openxmlformats.org/officeDocument/2006/relationships/hyperlink" Target="https://www.iciciprulife.com/content/dam/icicipru/brochures/ICICI_Pru_SIP_Plus_Brochure.pdf" TargetMode="External"/><Relationship Id="rId28" Type="http://schemas.openxmlformats.org/officeDocument/2006/relationships/hyperlink" Target="https://www.iciciprulife.com/content/dam/icicipru/brochures/ICICI_Pru_SIP_Plus_Brochure.pdf" TargetMode="External"/><Relationship Id="rId27" Type="http://schemas.openxmlformats.org/officeDocument/2006/relationships/hyperlink" Target="https://www.iciciprulife.com/content/dam/icicipru/brochures/ICICI_Pru_SIP_Plus_Brochure.pdf" TargetMode="External"/><Relationship Id="rId29" Type="http://schemas.openxmlformats.org/officeDocument/2006/relationships/hyperlink" Target="https://www.iciciprulife.com/content/dam/icicipru/brochures/ICICI_Pru_SIP_Plus_Brochure.pdf" TargetMode="External"/><Relationship Id="rId11" Type="http://schemas.openxmlformats.org/officeDocument/2006/relationships/hyperlink" Target="https://www.iciciprulife.com/content/dam/icicipru/brochures/ICICI_Pru_SIP_Plus_Brochure.pdf" TargetMode="External"/><Relationship Id="rId10" Type="http://schemas.openxmlformats.org/officeDocument/2006/relationships/hyperlink" Target="https://www.iciciprulife.com/content/dam/icicipru/brochures/ICICI_Pru_SIP_Plus_Brochure.pdf" TargetMode="External"/><Relationship Id="rId13" Type="http://schemas.openxmlformats.org/officeDocument/2006/relationships/hyperlink" Target="https://www.iciciprulife.com/content/dam/icicipru/brochures/ICICI_Pru_SIP_Plus_Brochure.pdf" TargetMode="External"/><Relationship Id="rId12" Type="http://schemas.openxmlformats.org/officeDocument/2006/relationships/hyperlink" Target="https://www.iciciprulife.com/content/dam/icicipru/brochures/ICICI_Pru_SIP_Plus_Brochure.pdf" TargetMode="External"/><Relationship Id="rId15" Type="http://schemas.openxmlformats.org/officeDocument/2006/relationships/hyperlink" Target="https://www.iciciprulife.com/content/dam/icicipru/brochures/ICICI_Pru_SIP_Plus_Brochure.pdf" TargetMode="External"/><Relationship Id="rId198" Type="http://schemas.openxmlformats.org/officeDocument/2006/relationships/hyperlink" Target="https://www.iciciprulife.com/content/dam/icicipru/brochures/ICICI-Pru-Wealth-Elite-Pro.pdf" TargetMode="External"/><Relationship Id="rId14" Type="http://schemas.openxmlformats.org/officeDocument/2006/relationships/hyperlink" Target="https://www.iciciprulife.com/content/dam/icicipru/brochures/ICICI_Pru_SIP_Plus_Brochure.pdf" TargetMode="External"/><Relationship Id="rId197" Type="http://schemas.openxmlformats.org/officeDocument/2006/relationships/hyperlink" Target="https://www.iciciprulife.com/content/dam/icicipru/brochures/ICICI-Pru-Wealth-Elite-Pro.pdf" TargetMode="External"/><Relationship Id="rId17" Type="http://schemas.openxmlformats.org/officeDocument/2006/relationships/hyperlink" Target="https://www.iciciprulife.com/content/dam/icicipru/brochures/ICICI_Pru_SIP_Plus_Brochure.pdf" TargetMode="External"/><Relationship Id="rId196" Type="http://schemas.openxmlformats.org/officeDocument/2006/relationships/hyperlink" Target="https://www.iciciprulife.com/content/dam/icicipru/brochures/ICICI-Pru-Wealth-Elite-Pro.pdf" TargetMode="External"/><Relationship Id="rId16" Type="http://schemas.openxmlformats.org/officeDocument/2006/relationships/hyperlink" Target="https://www.iciciprulife.com/content/dam/icicipru/brochures/ICICI_Pru_SIP_Plus_Brochure.pdf" TargetMode="External"/><Relationship Id="rId195" Type="http://schemas.openxmlformats.org/officeDocument/2006/relationships/hyperlink" Target="https://www.iciciprulife.com/content/dam/icicipru/brochures/ICICI-Pru-Wealth-Elite-Pro.pdf" TargetMode="External"/><Relationship Id="rId19" Type="http://schemas.openxmlformats.org/officeDocument/2006/relationships/hyperlink" Target="https://www.iciciprulife.com/content/dam/icicipru/brochures/ICICI_Pru_SIP_Plus_Brochure.pdf" TargetMode="External"/><Relationship Id="rId18" Type="http://schemas.openxmlformats.org/officeDocument/2006/relationships/hyperlink" Target="https://www.iciciprulife.com/content/dam/icicipru/brochures/ICICI_Pru_SIP_Plus_Brochure.pdf" TargetMode="External"/><Relationship Id="rId199" Type="http://schemas.openxmlformats.org/officeDocument/2006/relationships/hyperlink" Target="https://www.iciciprulife.com/content/dam/icicipru/brochures/ICICI-Pru-Wealth-Elite-Pro.pdf" TargetMode="External"/><Relationship Id="rId84" Type="http://schemas.openxmlformats.org/officeDocument/2006/relationships/hyperlink" Target="https://www.iciciprulife.com/content/dam/icicipru/brochures/ICICI_Pru_Signature_Assure_Brochure.pdf" TargetMode="External"/><Relationship Id="rId83" Type="http://schemas.openxmlformats.org/officeDocument/2006/relationships/hyperlink" Target="https://www.iciciprulife.com/content/dam/icicipru/brochures/ICICI_Pru_Signature_Assure_Brochure.pdf" TargetMode="External"/><Relationship Id="rId86" Type="http://schemas.openxmlformats.org/officeDocument/2006/relationships/hyperlink" Target="https://www.iciciprulife.com/content/dam/icicipru/brochures/ICICI_Pru_Signature_Assure_Brochure.pdf" TargetMode="External"/><Relationship Id="rId85" Type="http://schemas.openxmlformats.org/officeDocument/2006/relationships/hyperlink" Target="https://www.iciciprulife.com/content/dam/icicipru/brochures/ICICI_Pru_Signature_Assure_Brochure.pdf" TargetMode="External"/><Relationship Id="rId88" Type="http://schemas.openxmlformats.org/officeDocument/2006/relationships/hyperlink" Target="https://www.iciciprulife.com/content/dam/icicipru/brochures/ICICI_Pru_Signature_Assure_Brochure.pdf" TargetMode="External"/><Relationship Id="rId150" Type="http://schemas.openxmlformats.org/officeDocument/2006/relationships/hyperlink" Target="https://www.iciciprulife.com/content/dam/icicipru/brochures/ICICI_Pru_Platinum_Brochure.pdf" TargetMode="External"/><Relationship Id="rId87" Type="http://schemas.openxmlformats.org/officeDocument/2006/relationships/hyperlink" Target="https://www.iciciprulife.com/content/dam/icicipru/brochures/ICICI_Pru_Signature_Assure_Brochure.pdf" TargetMode="External"/><Relationship Id="rId89" Type="http://schemas.openxmlformats.org/officeDocument/2006/relationships/hyperlink" Target="https://www.iciciprulife.com/content/dam/icicipru/brochures/ICICI_Pru_Signature_Assure_Brochure.pdf" TargetMode="External"/><Relationship Id="rId80" Type="http://schemas.openxmlformats.org/officeDocument/2006/relationships/hyperlink" Target="https://www.iciciprulife.com/content/dam/icicipru/brochures/ICICI_Pru_Signature_Assure_Brochure.pdf" TargetMode="External"/><Relationship Id="rId82" Type="http://schemas.openxmlformats.org/officeDocument/2006/relationships/hyperlink" Target="https://www.iciciprulife.com/content/dam/icicipru/brochures/ICICI_Pru_Signature_Assure_Brochure.pdf" TargetMode="External"/><Relationship Id="rId81" Type="http://schemas.openxmlformats.org/officeDocument/2006/relationships/hyperlink" Target="https://www.iciciprulife.com/content/dam/icicipru/brochures/ICICI_Pru_Signature_Assure_Brochure.pdf" TargetMode="External"/><Relationship Id="rId1" Type="http://schemas.openxmlformats.org/officeDocument/2006/relationships/hyperlink" Target="https://www.iciciprulife.com/content/dam/icicipru/brochures/ICICI_Pru_SIP_Plus_Brochure.pdf" TargetMode="External"/><Relationship Id="rId2" Type="http://schemas.openxmlformats.org/officeDocument/2006/relationships/hyperlink" Target="https://www.iciciprulife.com/content/dam/icicipru/brochures/ICICI_Pru_SIP_Plus_Brochure.pdf" TargetMode="External"/><Relationship Id="rId3" Type="http://schemas.openxmlformats.org/officeDocument/2006/relationships/hyperlink" Target="https://www.iciciprulife.com/content/dam/icicipru/brochures/ICICI_Pru_SIP_Plus_Brochure.pdf" TargetMode="External"/><Relationship Id="rId149" Type="http://schemas.openxmlformats.org/officeDocument/2006/relationships/hyperlink" Target="https://www.iciciprulife.com/content/dam/icicipru/brochures/ICICI_Pru_Platinum_Brochure.pdf" TargetMode="External"/><Relationship Id="rId4" Type="http://schemas.openxmlformats.org/officeDocument/2006/relationships/hyperlink" Target="https://www.iciciprulife.com/content/dam/icicipru/brochures/ICICI_Pru_SIP_Plus_Brochure.pdf" TargetMode="External"/><Relationship Id="rId148" Type="http://schemas.openxmlformats.org/officeDocument/2006/relationships/hyperlink" Target="https://www.iciciprulife.com/content/dam/icicipru/brochures/ICICI_Pru_Platinum_Brochure.pdf" TargetMode="External"/><Relationship Id="rId9" Type="http://schemas.openxmlformats.org/officeDocument/2006/relationships/hyperlink" Target="https://www.iciciprulife.com/content/dam/icicipru/brochures/ICICI_Pru_SIP_Plus_Brochure.pdf" TargetMode="External"/><Relationship Id="rId143" Type="http://schemas.openxmlformats.org/officeDocument/2006/relationships/hyperlink" Target="https://www.iciciprulife.com/content/dam/icicipru/brochures/ICICI_Pru_Platinum_Brochure.pdf" TargetMode="External"/><Relationship Id="rId142" Type="http://schemas.openxmlformats.org/officeDocument/2006/relationships/hyperlink" Target="https://www.iciciprulife.com/content/dam/icicipru/brochures/ICICI_Pru_Platinum_Brochure.pdf" TargetMode="External"/><Relationship Id="rId141" Type="http://schemas.openxmlformats.org/officeDocument/2006/relationships/hyperlink" Target="https://www.iciciprulife.com/content/dam/icicipru/brochures/ICICI_Pru_Platinum_Brochure.pdf" TargetMode="External"/><Relationship Id="rId140" Type="http://schemas.openxmlformats.org/officeDocument/2006/relationships/hyperlink" Target="https://www.iciciprulife.com/content/dam/icicipru/brochures/ICICI_Pru_Platinum_Brochure.pdf" TargetMode="External"/><Relationship Id="rId5" Type="http://schemas.openxmlformats.org/officeDocument/2006/relationships/hyperlink" Target="https://www.iciciprulife.com/content/dam/icicipru/brochures/ICICI_Pru_SIP_Plus_Brochure.pdf" TargetMode="External"/><Relationship Id="rId147" Type="http://schemas.openxmlformats.org/officeDocument/2006/relationships/hyperlink" Target="https://www.iciciprulife.com/content/dam/icicipru/brochures/ICICI_Pru_Platinum_Brochure.pdf" TargetMode="External"/><Relationship Id="rId6" Type="http://schemas.openxmlformats.org/officeDocument/2006/relationships/hyperlink" Target="https://www.iciciprulife.com/content/dam/icicipru/brochures/ICICI_Pru_SIP_Plus_Brochure.pdf" TargetMode="External"/><Relationship Id="rId146" Type="http://schemas.openxmlformats.org/officeDocument/2006/relationships/hyperlink" Target="https://www.iciciprulife.com/content/dam/icicipru/brochures/ICICI_Pru_Platinum_Brochure.pdf" TargetMode="External"/><Relationship Id="rId7" Type="http://schemas.openxmlformats.org/officeDocument/2006/relationships/hyperlink" Target="https://www.iciciprulife.com/content/dam/icicipru/brochures/ICICI_Pru_SIP_Plus_Brochure.pdf" TargetMode="External"/><Relationship Id="rId145" Type="http://schemas.openxmlformats.org/officeDocument/2006/relationships/hyperlink" Target="https://www.iciciprulife.com/content/dam/icicipru/brochures/ICICI_Pru_Platinum_Brochure.pdf" TargetMode="External"/><Relationship Id="rId8" Type="http://schemas.openxmlformats.org/officeDocument/2006/relationships/hyperlink" Target="https://www.iciciprulife.com/content/dam/icicipru/brochures/ICICI_Pru_SIP_Plus_Brochure.pdf" TargetMode="External"/><Relationship Id="rId144" Type="http://schemas.openxmlformats.org/officeDocument/2006/relationships/hyperlink" Target="https://www.iciciprulife.com/content/dam/icicipru/brochures/ICICI_Pru_Platinum_Brochure.pdf" TargetMode="External"/><Relationship Id="rId73" Type="http://schemas.openxmlformats.org/officeDocument/2006/relationships/hyperlink" Target="https://www.iciciprulife.com/content/dam/icicipru/brochures/ICICI_Pru_Signature_Assure_Brochure.pdf" TargetMode="External"/><Relationship Id="rId72" Type="http://schemas.openxmlformats.org/officeDocument/2006/relationships/hyperlink" Target="https://www.iciciprulife.com/content/dam/icicipru/brochures/ICICI_Pru_Signature_Assure_Brochure.pdf" TargetMode="External"/><Relationship Id="rId75" Type="http://schemas.openxmlformats.org/officeDocument/2006/relationships/hyperlink" Target="https://www.iciciprulife.com/content/dam/icicipru/brochures/ICICI_Pru_Signature_Assure_Brochure.pdf" TargetMode="External"/><Relationship Id="rId74" Type="http://schemas.openxmlformats.org/officeDocument/2006/relationships/hyperlink" Target="https://www.iciciprulife.com/content/dam/icicipru/brochures/ICICI_Pru_Signature_Assure_Brochure.pdf" TargetMode="External"/><Relationship Id="rId77" Type="http://schemas.openxmlformats.org/officeDocument/2006/relationships/hyperlink" Target="https://www.iciciprulife.com/content/dam/icicipru/brochures/ICICI_Pru_Signature_Assure_Brochure.pdf" TargetMode="External"/><Relationship Id="rId76" Type="http://schemas.openxmlformats.org/officeDocument/2006/relationships/hyperlink" Target="https://www.iciciprulife.com/content/dam/icicipru/brochures/ICICI_Pru_Signature_Assure_Brochure.pdf" TargetMode="External"/><Relationship Id="rId79" Type="http://schemas.openxmlformats.org/officeDocument/2006/relationships/hyperlink" Target="https://www.iciciprulife.com/content/dam/icicipru/brochures/ICICI_Pru_Signature_Assure_Brochure.pdf" TargetMode="External"/><Relationship Id="rId78" Type="http://schemas.openxmlformats.org/officeDocument/2006/relationships/hyperlink" Target="https://www.iciciprulife.com/content/dam/icicipru/brochures/ICICI_Pru_Signature_Assure_Brochure.pdf" TargetMode="External"/><Relationship Id="rId71" Type="http://schemas.openxmlformats.org/officeDocument/2006/relationships/hyperlink" Target="https://www.iciciprulife.com/content/dam/icicipru/brochures/ICICI_Pru_Signature_Assure_Brochure.pdf" TargetMode="External"/><Relationship Id="rId70" Type="http://schemas.openxmlformats.org/officeDocument/2006/relationships/hyperlink" Target="https://www.iciciprulife.com/content/dam/icicipru/brochures/ICICI_Pru_Signature_Assure_Brochure.pdf" TargetMode="External"/><Relationship Id="rId139" Type="http://schemas.openxmlformats.org/officeDocument/2006/relationships/hyperlink" Target="https://www.iciciprulife.com/content/dam/icicipru/brochures/ICICI_Pru_Platinum_Brochure.pdf" TargetMode="External"/><Relationship Id="rId138" Type="http://schemas.openxmlformats.org/officeDocument/2006/relationships/hyperlink" Target="https://www.iciciprulife.com/content/dam/icicipru/brochures/ICICI_Pru_Platinum_Brochure.pdf" TargetMode="External"/><Relationship Id="rId137" Type="http://schemas.openxmlformats.org/officeDocument/2006/relationships/hyperlink" Target="https://www.iciciprulife.com/content/dam/icicipru/brochures/ICICI_Pru_Platinum_Brochure.pdf" TargetMode="External"/><Relationship Id="rId132" Type="http://schemas.openxmlformats.org/officeDocument/2006/relationships/hyperlink" Target="https://www.iciciprulife.com/content/dam/icicipru/brochures/ICICI_Pru_Platinum_Brochure.pdf" TargetMode="External"/><Relationship Id="rId131" Type="http://schemas.openxmlformats.org/officeDocument/2006/relationships/hyperlink" Target="https://www.iciciprulife.com/content/dam/icicipru/brochures/ICICI_Pru_Platinum_Brochure.pdf" TargetMode="External"/><Relationship Id="rId130" Type="http://schemas.openxmlformats.org/officeDocument/2006/relationships/hyperlink" Target="https://www.iciciprulife.com/content/dam/icicipru/brochures/ICICI_Pru_Platinum_Brochure.pdf" TargetMode="External"/><Relationship Id="rId136" Type="http://schemas.openxmlformats.org/officeDocument/2006/relationships/hyperlink" Target="https://www.iciciprulife.com/content/dam/icicipru/brochures/ICICI_Pru_Platinum_Brochure.pdf" TargetMode="External"/><Relationship Id="rId135" Type="http://schemas.openxmlformats.org/officeDocument/2006/relationships/hyperlink" Target="https://www.iciciprulife.com/content/dam/icicipru/brochures/ICICI_Pru_Platinum_Brochure.pdf" TargetMode="External"/><Relationship Id="rId134" Type="http://schemas.openxmlformats.org/officeDocument/2006/relationships/hyperlink" Target="https://www.iciciprulife.com/content/dam/icicipru/brochures/ICICI_Pru_Platinum_Brochure.pdf" TargetMode="External"/><Relationship Id="rId133" Type="http://schemas.openxmlformats.org/officeDocument/2006/relationships/hyperlink" Target="https://www.iciciprulife.com/content/dam/icicipru/brochures/ICICI_Pru_Platinum_Brochure.pdf" TargetMode="External"/><Relationship Id="rId62" Type="http://schemas.openxmlformats.org/officeDocument/2006/relationships/hyperlink" Target="https://www.iciciprulife.com/content/dam/icicipru/brochures/ICICI_Pru_Signature_Online_Brochure.pdf" TargetMode="External"/><Relationship Id="rId61" Type="http://schemas.openxmlformats.org/officeDocument/2006/relationships/hyperlink" Target="https://www.iciciprulife.com/content/dam/icicipru/brochures/ICICI_Pru_Signature_Online_Brochure.pdf" TargetMode="External"/><Relationship Id="rId64" Type="http://schemas.openxmlformats.org/officeDocument/2006/relationships/hyperlink" Target="https://www.iciciprulife.com/content/dam/icicipru/brochures/ICICI_Pru_Signature_Online_Brochure.pdf" TargetMode="External"/><Relationship Id="rId63" Type="http://schemas.openxmlformats.org/officeDocument/2006/relationships/hyperlink" Target="https://www.iciciprulife.com/content/dam/icicipru/brochures/ICICI_Pru_Signature_Online_Brochure.pdf" TargetMode="External"/><Relationship Id="rId66" Type="http://schemas.openxmlformats.org/officeDocument/2006/relationships/hyperlink" Target="https://www.iciciprulife.com/content/dam/icicipru/brochures/ICICI_Pru_Signature_Assure_Brochure.pdf" TargetMode="External"/><Relationship Id="rId172" Type="http://schemas.openxmlformats.org/officeDocument/2006/relationships/hyperlink" Target="https://www.iciciprulife.com/content/dam/icicipru/brochures/ICICI_Pru_Smart_Goal_Assure_Brochure.pdf" TargetMode="External"/><Relationship Id="rId65" Type="http://schemas.openxmlformats.org/officeDocument/2006/relationships/hyperlink" Target="https://www.iciciprulife.com/content/dam/icicipru/brochures/ICICI_Pru_Signature_Assure_Brochure.pdf" TargetMode="External"/><Relationship Id="rId171" Type="http://schemas.openxmlformats.org/officeDocument/2006/relationships/hyperlink" Target="https://www.iciciprulife.com/content/dam/icicipru/brochures/ICICI_Pru_Smart_Goal_Assure_Brochure.pdf" TargetMode="External"/><Relationship Id="rId68" Type="http://schemas.openxmlformats.org/officeDocument/2006/relationships/hyperlink" Target="https://www.iciciprulife.com/content/dam/icicipru/brochures/ICICI_Pru_Signature_Assure_Brochure.pdf" TargetMode="External"/><Relationship Id="rId170" Type="http://schemas.openxmlformats.org/officeDocument/2006/relationships/hyperlink" Target="https://www.iciciprulife.com/content/dam/icicipru/brochures/ICICI_Pru_Smart_Goal_Assure_Brochure.pdf" TargetMode="External"/><Relationship Id="rId67" Type="http://schemas.openxmlformats.org/officeDocument/2006/relationships/hyperlink" Target="https://www.iciciprulife.com/content/dam/icicipru/brochures/ICICI_Pru_Signature_Assure_Brochure.pdf" TargetMode="External"/><Relationship Id="rId60" Type="http://schemas.openxmlformats.org/officeDocument/2006/relationships/hyperlink" Target="https://www.iciciprulife.com/content/dam/icicipru/brochures/ICICI_Pru_Signature_Online_Brochure.pdf" TargetMode="External"/><Relationship Id="rId165" Type="http://schemas.openxmlformats.org/officeDocument/2006/relationships/hyperlink" Target="https://www.iciciprulife.com/content/dam/icicipru/brochures/ICICI_Pru_Smart_Goal_Assure_Brochure.pdf" TargetMode="External"/><Relationship Id="rId69" Type="http://schemas.openxmlformats.org/officeDocument/2006/relationships/hyperlink" Target="https://www.iciciprulife.com/content/dam/icicipru/brochures/ICICI_Pru_Signature_Assure_Brochure.pdf" TargetMode="External"/><Relationship Id="rId164" Type="http://schemas.openxmlformats.org/officeDocument/2006/relationships/hyperlink" Target="https://www.iciciprulife.com/content/dam/icicipru/brochures/ICICI_Pru_Smart_Goal_Assure_Brochure.pdf" TargetMode="External"/><Relationship Id="rId163" Type="http://schemas.openxmlformats.org/officeDocument/2006/relationships/hyperlink" Target="https://www.iciciprulife.com/content/dam/icicipru/brochures/ICICI_Pru_Smart_Goal_Assure_Brochure.pdf" TargetMode="External"/><Relationship Id="rId162" Type="http://schemas.openxmlformats.org/officeDocument/2006/relationships/hyperlink" Target="https://www.iciciprulife.com/content/dam/icicipru/brochures/ICICI_Pru_Smart_Goal_Assure_Brochure.pdf" TargetMode="External"/><Relationship Id="rId169" Type="http://schemas.openxmlformats.org/officeDocument/2006/relationships/hyperlink" Target="https://www.iciciprulife.com/content/dam/icicipru/brochures/ICICI_Pru_Smart_Goal_Assure_Brochure.pdf" TargetMode="External"/><Relationship Id="rId168" Type="http://schemas.openxmlformats.org/officeDocument/2006/relationships/hyperlink" Target="https://www.iciciprulife.com/content/dam/icicipru/brochures/ICICI_Pru_Smart_Goal_Assure_Brochure.pdf" TargetMode="External"/><Relationship Id="rId167" Type="http://schemas.openxmlformats.org/officeDocument/2006/relationships/hyperlink" Target="https://www.iciciprulife.com/content/dam/icicipru/brochures/ICICI_Pru_Smart_Goal_Assure_Brochure.pdf" TargetMode="External"/><Relationship Id="rId166" Type="http://schemas.openxmlformats.org/officeDocument/2006/relationships/hyperlink" Target="https://www.iciciprulife.com/content/dam/icicipru/brochures/ICICI_Pru_Smart_Goal_Assure_Brochure.pdf" TargetMode="External"/><Relationship Id="rId51" Type="http://schemas.openxmlformats.org/officeDocument/2006/relationships/hyperlink" Target="https://www.iciciprulife.com/content/dam/icicipru/brochures/ICICI_Pru_Signature_Online_Brochure.pdf" TargetMode="External"/><Relationship Id="rId50" Type="http://schemas.openxmlformats.org/officeDocument/2006/relationships/hyperlink" Target="https://www.iciciprulife.com/content/dam/icicipru/brochures/ICICI_Pru_Signature_Online_Brochure.pdf" TargetMode="External"/><Relationship Id="rId53" Type="http://schemas.openxmlformats.org/officeDocument/2006/relationships/hyperlink" Target="https://www.iciciprulife.com/content/dam/icicipru/brochures/ICICI_Pru_Signature_Online_Brochure.pdf" TargetMode="External"/><Relationship Id="rId52" Type="http://schemas.openxmlformats.org/officeDocument/2006/relationships/hyperlink" Target="https://www.iciciprulife.com/content/dam/icicipru/brochures/ICICI_Pru_Signature_Online_Brochure.pdf" TargetMode="External"/><Relationship Id="rId55" Type="http://schemas.openxmlformats.org/officeDocument/2006/relationships/hyperlink" Target="https://www.iciciprulife.com/content/dam/icicipru/brochures/ICICI_Pru_Signature_Online_Brochure.pdf" TargetMode="External"/><Relationship Id="rId161" Type="http://schemas.openxmlformats.org/officeDocument/2006/relationships/hyperlink" Target="https://www.iciciprulife.com/content/dam/icicipru/brochures/ICICI_Pru_Smart_Goal_Assure_Brochure.pdf" TargetMode="External"/><Relationship Id="rId54" Type="http://schemas.openxmlformats.org/officeDocument/2006/relationships/hyperlink" Target="https://www.iciciprulife.com/content/dam/icicipru/brochures/ICICI_Pru_Signature_Online_Brochure.pdf" TargetMode="External"/><Relationship Id="rId160" Type="http://schemas.openxmlformats.org/officeDocument/2006/relationships/hyperlink" Target="https://www.iciciprulife.com/content/dam/icicipru/brochures/ICICI_Pru_Smart_Goal_Assure_Brochure.pdf" TargetMode="External"/><Relationship Id="rId57" Type="http://schemas.openxmlformats.org/officeDocument/2006/relationships/hyperlink" Target="https://www.iciciprulife.com/content/dam/icicipru/brochures/ICICI_Pru_Signature_Online_Brochure.pdf" TargetMode="External"/><Relationship Id="rId56" Type="http://schemas.openxmlformats.org/officeDocument/2006/relationships/hyperlink" Target="https://www.iciciprulife.com/content/dam/icicipru/brochures/ICICI_Pru_Signature_Online_Brochure.pdf" TargetMode="External"/><Relationship Id="rId159" Type="http://schemas.openxmlformats.org/officeDocument/2006/relationships/hyperlink" Target="https://www.iciciprulife.com/content/dam/icicipru/brochures/ICICI_Pru_Platinum_Brochure.pdf" TargetMode="External"/><Relationship Id="rId59" Type="http://schemas.openxmlformats.org/officeDocument/2006/relationships/hyperlink" Target="https://www.iciciprulife.com/content/dam/icicipru/brochures/ICICI_Pru_Signature_Online_Brochure.pdf" TargetMode="External"/><Relationship Id="rId154" Type="http://schemas.openxmlformats.org/officeDocument/2006/relationships/hyperlink" Target="https://www.iciciprulife.com/content/dam/icicipru/brochures/ICICI_Pru_Platinum_Brochure.pdf" TargetMode="External"/><Relationship Id="rId58" Type="http://schemas.openxmlformats.org/officeDocument/2006/relationships/hyperlink" Target="https://www.iciciprulife.com/content/dam/icicipru/brochures/ICICI_Pru_Signature_Online_Brochure.pdf" TargetMode="External"/><Relationship Id="rId153" Type="http://schemas.openxmlformats.org/officeDocument/2006/relationships/hyperlink" Target="https://www.iciciprulife.com/content/dam/icicipru/brochures/ICICI_Pru_Platinum_Brochure.pdf" TargetMode="External"/><Relationship Id="rId152" Type="http://schemas.openxmlformats.org/officeDocument/2006/relationships/hyperlink" Target="https://www.iciciprulife.com/content/dam/icicipru/brochures/ICICI_Pru_Platinum_Brochure.pdf" TargetMode="External"/><Relationship Id="rId151" Type="http://schemas.openxmlformats.org/officeDocument/2006/relationships/hyperlink" Target="https://www.iciciprulife.com/content/dam/icicipru/brochures/ICICI_Pru_Platinum_Brochure.pdf" TargetMode="External"/><Relationship Id="rId158" Type="http://schemas.openxmlformats.org/officeDocument/2006/relationships/hyperlink" Target="https://www.iciciprulife.com/content/dam/icicipru/brochures/ICICI_Pru_Platinum_Brochure.pdf" TargetMode="External"/><Relationship Id="rId157" Type="http://schemas.openxmlformats.org/officeDocument/2006/relationships/hyperlink" Target="https://www.iciciprulife.com/content/dam/icicipru/brochures/ICICI_Pru_Platinum_Brochure.pdf" TargetMode="External"/><Relationship Id="rId156" Type="http://schemas.openxmlformats.org/officeDocument/2006/relationships/hyperlink" Target="https://www.iciciprulife.com/content/dam/icicipru/brochures/ICICI_Pru_Platinum_Brochure.pdf" TargetMode="External"/><Relationship Id="rId155" Type="http://schemas.openxmlformats.org/officeDocument/2006/relationships/hyperlink" Target="https://www.iciciprulife.com/content/dam/icicipru/brochures/ICICI_Pru_Platinum_Brochure.pdf" TargetMode="External"/><Relationship Id="rId107" Type="http://schemas.openxmlformats.org/officeDocument/2006/relationships/hyperlink" Target="https://www.iciciprulife.com/content/dam/icicipru/brochures/ICICI_Pru1_Wealth_Brochure.pdf" TargetMode="External"/><Relationship Id="rId106" Type="http://schemas.openxmlformats.org/officeDocument/2006/relationships/hyperlink" Target="https://www.iciciprulife.com/content/dam/icicipru/brochures/ICICI_Pru1_Wealth_Brochure.pdf" TargetMode="External"/><Relationship Id="rId105" Type="http://schemas.openxmlformats.org/officeDocument/2006/relationships/hyperlink" Target="https://www.iciciprulife.com/content/dam/icicipru/brochures/ICICI_Pru1_Wealth_Brochure.pdf" TargetMode="External"/><Relationship Id="rId226" Type="http://schemas.openxmlformats.org/officeDocument/2006/relationships/table" Target="../tables/table1.xml"/><Relationship Id="rId104" Type="http://schemas.openxmlformats.org/officeDocument/2006/relationships/hyperlink" Target="https://www.iciciprulife.com/content/dam/icicipru/brochures/ICICI_Pru1_Wealth_Brochure.pdf" TargetMode="External"/><Relationship Id="rId109" Type="http://schemas.openxmlformats.org/officeDocument/2006/relationships/hyperlink" Target="https://www.iciciprulife.com/content/dam/icicipru/brochures/ICICI_Pru1_Wealth_Brochure.pdf" TargetMode="External"/><Relationship Id="rId108" Type="http://schemas.openxmlformats.org/officeDocument/2006/relationships/hyperlink" Target="https://www.iciciprulife.com/content/dam/icicipru/brochures/ICICI_Pru1_Wealth_Brochure.pdf" TargetMode="External"/><Relationship Id="rId220" Type="http://schemas.openxmlformats.org/officeDocument/2006/relationships/hyperlink" Target="https://www.iciciprulife.com/content/dam/icicipru/brochures/ICICI-Pru-Wealth-Elite-Pro.pdf" TargetMode="External"/><Relationship Id="rId103" Type="http://schemas.openxmlformats.org/officeDocument/2006/relationships/hyperlink" Target="https://www.iciciprulife.com/content/dam/icicipru/brochures/ICICI_Pru1_Wealth_Brochure.pdf" TargetMode="External"/><Relationship Id="rId224" Type="http://schemas.openxmlformats.org/officeDocument/2006/relationships/drawing" Target="../drawings/drawing3.xml"/><Relationship Id="rId102" Type="http://schemas.openxmlformats.org/officeDocument/2006/relationships/hyperlink" Target="https://www.iciciprulife.com/content/dam/icicipru/brochures/ICICI_Pru1_Wealth_Brochure.pdf" TargetMode="External"/><Relationship Id="rId223" Type="http://schemas.openxmlformats.org/officeDocument/2006/relationships/hyperlink" Target="https://www.iciciprulife.com/content/dam/icicipru/brochures/ICICI-Pru-Wealth-Elite-Pro.pdf" TargetMode="External"/><Relationship Id="rId101" Type="http://schemas.openxmlformats.org/officeDocument/2006/relationships/hyperlink" Target="https://www.iciciprulife.com/content/dam/icicipru/brochures/ICICI_Pru1_Wealth_Brochure.pdf" TargetMode="External"/><Relationship Id="rId222" Type="http://schemas.openxmlformats.org/officeDocument/2006/relationships/hyperlink" Target="https://www.iciciprulife.com/content/dam/icicipru/brochures/ICICI-Pru-Wealth-Elite-Pro.pdf" TargetMode="External"/><Relationship Id="rId100" Type="http://schemas.openxmlformats.org/officeDocument/2006/relationships/hyperlink" Target="https://www.iciciprulife.com/content/dam/icicipru/brochures/ICICI_Pru1_Wealth_Brochure.pdf" TargetMode="External"/><Relationship Id="rId221" Type="http://schemas.openxmlformats.org/officeDocument/2006/relationships/hyperlink" Target="https://www.iciciprulife.com/content/dam/icicipru/brochures/ICICI-Pru-Wealth-Elite-Pro.pdf" TargetMode="External"/><Relationship Id="rId217" Type="http://schemas.openxmlformats.org/officeDocument/2006/relationships/hyperlink" Target="https://www.iciciprulife.com/content/dam/icicipru/brochures/ICICI-Pru-Wealth-Elite-Pro.pdf" TargetMode="External"/><Relationship Id="rId216" Type="http://schemas.openxmlformats.org/officeDocument/2006/relationships/hyperlink" Target="https://www.iciciprulife.com/content/dam/icicipru/brochures/ICICI-Pru-Wealth-Elite-Pro.pdf" TargetMode="External"/><Relationship Id="rId215" Type="http://schemas.openxmlformats.org/officeDocument/2006/relationships/hyperlink" Target="https://www.iciciprulife.com/content/dam/icicipru/brochures/ICICI-Pru-Wealth-Elite-Pro.pdf" TargetMode="External"/><Relationship Id="rId214" Type="http://schemas.openxmlformats.org/officeDocument/2006/relationships/hyperlink" Target="https://www.iciciprulife.com/content/dam/icicipru/brochures/ICICI-Pru-Wealth-Elite-Pro.pdf" TargetMode="External"/><Relationship Id="rId219" Type="http://schemas.openxmlformats.org/officeDocument/2006/relationships/hyperlink" Target="https://www.iciciprulife.com/content/dam/icicipru/brochures/ICICI-Pru-Wealth-Elite-Pro.pdf" TargetMode="External"/><Relationship Id="rId218" Type="http://schemas.openxmlformats.org/officeDocument/2006/relationships/hyperlink" Target="https://www.iciciprulife.com/content/dam/icicipru/brochures/ICICI-Pru-Wealth-Elite-Pro.pdf" TargetMode="External"/><Relationship Id="rId213" Type="http://schemas.openxmlformats.org/officeDocument/2006/relationships/hyperlink" Target="https://www.iciciprulife.com/content/dam/icicipru/brochures/ICICI-Pru-Wealth-Elite-Pro.pdf" TargetMode="External"/><Relationship Id="rId212" Type="http://schemas.openxmlformats.org/officeDocument/2006/relationships/hyperlink" Target="https://www.iciciprulife.com/content/dam/icicipru/brochures/ICICI-Pru-Wealth-Elite-Pro.pdf" TargetMode="External"/><Relationship Id="rId211" Type="http://schemas.openxmlformats.org/officeDocument/2006/relationships/hyperlink" Target="https://www.iciciprulife.com/content/dam/icicipru/brochures/ICICI-Pru-Wealth-Elite-Pro.pdf" TargetMode="External"/><Relationship Id="rId210" Type="http://schemas.openxmlformats.org/officeDocument/2006/relationships/hyperlink" Target="https://www.iciciprulife.com/content/dam/icicipru/brochures/ICICI-Pru-Wealth-Elite-Pro.pdf" TargetMode="External"/><Relationship Id="rId129" Type="http://schemas.openxmlformats.org/officeDocument/2006/relationships/hyperlink" Target="https://www.iciciprulife.com/content/dam/icicipru/brochures/ICICI_Pru_Platinum_Brochure.pdf" TargetMode="External"/><Relationship Id="rId128" Type="http://schemas.openxmlformats.org/officeDocument/2006/relationships/hyperlink" Target="https://www.iciciprulife.com/content/dam/icicipru/brochures/ICICI_Pru_Platinum_Brochure.pdf" TargetMode="External"/><Relationship Id="rId127" Type="http://schemas.openxmlformats.org/officeDocument/2006/relationships/hyperlink" Target="https://www.iciciprulife.com/content/dam/icicipru/brochures/ICICI-Pru-Signature-Secure-Brochure.pdf" TargetMode="External"/><Relationship Id="rId126" Type="http://schemas.openxmlformats.org/officeDocument/2006/relationships/hyperlink" Target="https://www.iciciprulife.com/content/dam/icicipru/brochures/ICICI_Pru_Signature_Pension_Brochure.pdf" TargetMode="External"/><Relationship Id="rId121" Type="http://schemas.openxmlformats.org/officeDocument/2006/relationships/hyperlink" Target="https://www.iciciprulife.com/content/dam/icicipru/brochures/ICICI_Pru_Signature_Pension_Brochure.pdf" TargetMode="External"/><Relationship Id="rId120" Type="http://schemas.openxmlformats.org/officeDocument/2006/relationships/hyperlink" Target="https://www.iciciprulife.com/content/dam/icicipru/brochures/ICICI_Pru_Signature_Pension_Brochure.pdf" TargetMode="External"/><Relationship Id="rId125" Type="http://schemas.openxmlformats.org/officeDocument/2006/relationships/hyperlink" Target="https://www.iciciprulife.com/content/dam/icicipru/brochures/ICICI_Pru_Signature_Pension_Brochure.pdf" TargetMode="External"/><Relationship Id="rId124" Type="http://schemas.openxmlformats.org/officeDocument/2006/relationships/hyperlink" Target="https://www.iciciprulife.com/content/dam/icicipru/brochures/ICICI_Pru_Signature_Pension_Brochure.pdf" TargetMode="External"/><Relationship Id="rId123" Type="http://schemas.openxmlformats.org/officeDocument/2006/relationships/hyperlink" Target="https://www.iciciprulife.com/content/dam/icicipru/brochures/ICICI_Pru_Signature_Pension_Brochure.pdf" TargetMode="External"/><Relationship Id="rId122" Type="http://schemas.openxmlformats.org/officeDocument/2006/relationships/hyperlink" Target="https://www.iciciprulife.com/content/dam/icicipru/brochures/ICICI_Pru_Signature_Pension_Brochure.pdf" TargetMode="External"/><Relationship Id="rId95" Type="http://schemas.openxmlformats.org/officeDocument/2006/relationships/hyperlink" Target="https://www.iciciprulife.com/content/dam/icicipru/brochures/ICICI_Pru_Signature_Assure_Brochure.pdf" TargetMode="External"/><Relationship Id="rId94" Type="http://schemas.openxmlformats.org/officeDocument/2006/relationships/hyperlink" Target="https://www.iciciprulife.com/content/dam/icicipru/brochures/ICICI_Pru_Signature_Assure_Brochure.pdf" TargetMode="External"/><Relationship Id="rId97" Type="http://schemas.openxmlformats.org/officeDocument/2006/relationships/hyperlink" Target="https://www.iciciprulife.com/content/dam/icicipru/brochures/ICICI_Pru1_Wealth_Brochure.pdf" TargetMode="External"/><Relationship Id="rId96" Type="http://schemas.openxmlformats.org/officeDocument/2006/relationships/hyperlink" Target="https://www.iciciprulife.com/content/dam/icicipru/brochures/ICICI_Pru_Signature_Assure_Brochure.pdf" TargetMode="External"/><Relationship Id="rId99" Type="http://schemas.openxmlformats.org/officeDocument/2006/relationships/hyperlink" Target="https://www.iciciprulife.com/content/dam/icicipru/brochures/ICICI_Pru1_Wealth_Brochure.pdf" TargetMode="External"/><Relationship Id="rId98" Type="http://schemas.openxmlformats.org/officeDocument/2006/relationships/hyperlink" Target="https://www.iciciprulife.com/content/dam/icicipru/brochures/ICICI_Pru1_Wealth_Brochure.pdf" TargetMode="External"/><Relationship Id="rId91" Type="http://schemas.openxmlformats.org/officeDocument/2006/relationships/hyperlink" Target="https://www.iciciprulife.com/content/dam/icicipru/brochures/ICICI_Pru_Signature_Assure_Brochure.pdf" TargetMode="External"/><Relationship Id="rId90" Type="http://schemas.openxmlformats.org/officeDocument/2006/relationships/hyperlink" Target="https://www.iciciprulife.com/content/dam/icicipru/brochures/ICICI_Pru_Signature_Assure_Brochure.pdf" TargetMode="External"/><Relationship Id="rId93" Type="http://schemas.openxmlformats.org/officeDocument/2006/relationships/hyperlink" Target="https://www.iciciprulife.com/content/dam/icicipru/brochures/ICICI_Pru_Signature_Assure_Brochure.pdf" TargetMode="External"/><Relationship Id="rId92" Type="http://schemas.openxmlformats.org/officeDocument/2006/relationships/hyperlink" Target="https://www.iciciprulife.com/content/dam/icicipru/brochures/ICICI_Pru_Signature_Assure_Brochure.pdf" TargetMode="External"/><Relationship Id="rId118" Type="http://schemas.openxmlformats.org/officeDocument/2006/relationships/hyperlink" Target="https://www.iciciprulife.com/content/dam/icicipru/brochures/ICICI_Pru_Signature_Pension_Brochure.pdf" TargetMode="External"/><Relationship Id="rId117" Type="http://schemas.openxmlformats.org/officeDocument/2006/relationships/hyperlink" Target="https://www.iciciprulife.com/content/dam/icicipru/brochures/ICICI_Pru1_Wealth_Brochure.pdf" TargetMode="External"/><Relationship Id="rId116" Type="http://schemas.openxmlformats.org/officeDocument/2006/relationships/hyperlink" Target="https://www.iciciprulife.com/content/dam/icicipru/brochures/ICICI_Pru1_Wealth_Brochure.pdf" TargetMode="External"/><Relationship Id="rId115" Type="http://schemas.openxmlformats.org/officeDocument/2006/relationships/hyperlink" Target="https://www.iciciprulife.com/content/dam/icicipru/brochures/ICICI_Pru1_Wealth_Brochure.pdf" TargetMode="External"/><Relationship Id="rId119" Type="http://schemas.openxmlformats.org/officeDocument/2006/relationships/hyperlink" Target="https://www.iciciprulife.com/content/dam/icicipru/brochures/ICICI_Pru_Signature_Pension_Brochure.pdf" TargetMode="External"/><Relationship Id="rId110" Type="http://schemas.openxmlformats.org/officeDocument/2006/relationships/hyperlink" Target="https://www.iciciprulife.com/content/dam/icicipru/brochures/ICICI_Pru1_Wealth_Brochure.pdf" TargetMode="External"/><Relationship Id="rId114" Type="http://schemas.openxmlformats.org/officeDocument/2006/relationships/hyperlink" Target="https://www.iciciprulife.com/content/dam/icicipru/brochures/ICICI_Pru1_Wealth_Brochure.pdf" TargetMode="External"/><Relationship Id="rId113" Type="http://schemas.openxmlformats.org/officeDocument/2006/relationships/hyperlink" Target="https://www.iciciprulife.com/content/dam/icicipru/brochures/ICICI_Pru1_Wealth_Brochure.pdf" TargetMode="External"/><Relationship Id="rId112" Type="http://schemas.openxmlformats.org/officeDocument/2006/relationships/hyperlink" Target="https://www.iciciprulife.com/content/dam/icicipru/brochures/ICICI_Pru1_Wealth_Brochure.pdf" TargetMode="External"/><Relationship Id="rId111" Type="http://schemas.openxmlformats.org/officeDocument/2006/relationships/hyperlink" Target="https://www.iciciprulife.com/content/dam/icicipru/brochures/ICICI_Pru1_Wealth_Brochure.pdf" TargetMode="External"/><Relationship Id="rId206" Type="http://schemas.openxmlformats.org/officeDocument/2006/relationships/hyperlink" Target="https://www.iciciprulife.com/content/dam/icicipru/brochures/ICICI-Pru-Wealth-Elite-Pro.pdf" TargetMode="External"/><Relationship Id="rId205" Type="http://schemas.openxmlformats.org/officeDocument/2006/relationships/hyperlink" Target="https://www.iciciprulife.com/content/dam/icicipru/brochures/ICICI-Pru-Wealth-Elite-Pro.pdf" TargetMode="External"/><Relationship Id="rId204" Type="http://schemas.openxmlformats.org/officeDocument/2006/relationships/hyperlink" Target="https://www.iciciprulife.com/content/dam/icicipru/brochures/ICICI-Pru-Wealth-Elite-Pro.pdf" TargetMode="External"/><Relationship Id="rId203" Type="http://schemas.openxmlformats.org/officeDocument/2006/relationships/hyperlink" Target="https://www.iciciprulife.com/content/dam/icicipru/brochures/ICICI-Pru-Wealth-Elite-Pro.pdf" TargetMode="External"/><Relationship Id="rId209" Type="http://schemas.openxmlformats.org/officeDocument/2006/relationships/hyperlink" Target="https://www.iciciprulife.com/content/dam/icicipru/brochures/ICICI-Pru-Wealth-Elite-Pro.pdf" TargetMode="External"/><Relationship Id="rId208" Type="http://schemas.openxmlformats.org/officeDocument/2006/relationships/hyperlink" Target="https://www.iciciprulife.com/content/dam/icicipru/brochures/ICICI-Pru-Wealth-Elite-Pro.pdf" TargetMode="External"/><Relationship Id="rId207" Type="http://schemas.openxmlformats.org/officeDocument/2006/relationships/hyperlink" Target="https://www.iciciprulife.com/content/dam/icicipru/brochures/ICICI-Pru-Wealth-Elite-Pro.pdf" TargetMode="External"/><Relationship Id="rId202" Type="http://schemas.openxmlformats.org/officeDocument/2006/relationships/hyperlink" Target="https://www.iciciprulife.com/content/dam/icicipru/brochures/ICICI-Pru-Wealth-Elite-Pro.pdf" TargetMode="External"/><Relationship Id="rId201" Type="http://schemas.openxmlformats.org/officeDocument/2006/relationships/hyperlink" Target="https://www.iciciprulife.com/content/dam/icicipru/brochures/ICICI-Pru-Wealth-Elite-Pro.pdf" TargetMode="External"/><Relationship Id="rId200" Type="http://schemas.openxmlformats.org/officeDocument/2006/relationships/hyperlink" Target="https://www.iciciprulife.com/content/dam/icicipru/brochures/ICICI-Pru-Wealth-Elite-Pro.pdf"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drive.google.com/drive/u/0/folders/1C1XhHp7iAA0stUktn1IN8ax_i6R9Ynpi" TargetMode="External"/><Relationship Id="rId10" Type="http://schemas.openxmlformats.org/officeDocument/2006/relationships/hyperlink" Target="https://drive.google.com/drive/u/0/folders/1C1XhHp7iAA0stUktn1IN8ax_i6R9Ynpi" TargetMode="External"/><Relationship Id="rId13" Type="http://schemas.openxmlformats.org/officeDocument/2006/relationships/hyperlink" Target="https://drive.google.com/drive/u/0/folders/1C1XhHp7iAA0stUktn1IN8ax_i6R9Ynpi" TargetMode="External"/><Relationship Id="rId12" Type="http://schemas.openxmlformats.org/officeDocument/2006/relationships/hyperlink" Target="https://drive.google.com/drive/u/0/folders/1C1XhHp7iAA0stUktn1IN8ax_i6R9Ynpi" TargetMode="External"/><Relationship Id="rId15" Type="http://schemas.openxmlformats.org/officeDocument/2006/relationships/hyperlink" Target="https://www.hdfclife.com/content/dam/hdfclifeinsurancecompany/fund-performance/pdf/fund-factsheets-individual.pdf" TargetMode="External"/><Relationship Id="rId14" Type="http://schemas.openxmlformats.org/officeDocument/2006/relationships/hyperlink" Target="https://drive.google.com/drive/u/0/folders/1C1XhHp7iAA0stUktn1IN8ax_i6R9Ynpi" TargetMode="External"/><Relationship Id="rId16" Type="http://schemas.openxmlformats.org/officeDocument/2006/relationships/drawing" Target="../drawings/drawing4.xml"/><Relationship Id="rId18" Type="http://schemas.openxmlformats.org/officeDocument/2006/relationships/table" Target="../tables/table2.xml"/><Relationship Id="rId1" Type="http://schemas.openxmlformats.org/officeDocument/2006/relationships/hyperlink" Target="https://www.hdfclife.com/content/dam/hdfclifeinsurancecompany/fund-performance/pdf/fund-factsheets-individual.pdf" TargetMode="External"/><Relationship Id="rId2" Type="http://schemas.openxmlformats.org/officeDocument/2006/relationships/hyperlink" Target="https://www.hdfclife.com/content/dam/hdfclifeinsurancecompany/fund-performance/pdf/fund-factsheets-individual.pdf" TargetMode="External"/><Relationship Id="rId3" Type="http://schemas.openxmlformats.org/officeDocument/2006/relationships/hyperlink" Target="https://drive.google.com/drive/u/0/folders/1C1XhHp7iAA0stUktn1IN8ax_i6R9Ynpi" TargetMode="External"/><Relationship Id="rId4" Type="http://schemas.openxmlformats.org/officeDocument/2006/relationships/hyperlink" Target="https://drive.google.com/drive/u/0/folders/1C1XhHp7iAA0stUktn1IN8ax_i6R9Ynpi" TargetMode="External"/><Relationship Id="rId9" Type="http://schemas.openxmlformats.org/officeDocument/2006/relationships/hyperlink" Target="https://drive.google.com/drive/u/0/folders/1C1XhHp7iAA0stUktn1IN8ax_i6R9Ynpi" TargetMode="External"/><Relationship Id="rId5" Type="http://schemas.openxmlformats.org/officeDocument/2006/relationships/hyperlink" Target="https://drive.google.com/drive/u/0/folders/1C1XhHp7iAA0stUktn1IN8ax_i6R9Ynpi" TargetMode="External"/><Relationship Id="rId6" Type="http://schemas.openxmlformats.org/officeDocument/2006/relationships/hyperlink" Target="https://drive.google.com/drive/u/0/folders/1C1XhHp7iAA0stUktn1IN8ax_i6R9Ynpi" TargetMode="External"/><Relationship Id="rId7" Type="http://schemas.openxmlformats.org/officeDocument/2006/relationships/hyperlink" Target="https://drive.google.com/drive/u/0/folders/1C1XhHp7iAA0stUktn1IN8ax_i6R9Ynpi" TargetMode="External"/><Relationship Id="rId8" Type="http://schemas.openxmlformats.org/officeDocument/2006/relationships/hyperlink" Target="https://drive.google.com/drive/u/0/folders/1C1XhHp7iAA0stUktn1IN8ax_i6R9Ynp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25.5"/>
  </cols>
  <sheetData>
    <row r="1">
      <c r="A1" s="1"/>
      <c r="B1" s="1"/>
      <c r="C1" s="1"/>
      <c r="D1" s="1"/>
      <c r="E1" s="1"/>
      <c r="F1" s="1"/>
      <c r="G1" s="1"/>
      <c r="H1" s="1"/>
      <c r="I1" s="1"/>
      <c r="J1" s="1"/>
      <c r="K1" s="1"/>
      <c r="L1" s="1"/>
      <c r="M1" s="1"/>
      <c r="N1" s="1"/>
      <c r="O1" s="1"/>
      <c r="P1" s="1"/>
      <c r="Q1" s="1"/>
      <c r="R1" s="1"/>
      <c r="S1" s="1"/>
      <c r="T1" s="1"/>
      <c r="U1" s="1"/>
      <c r="V1" s="1"/>
      <c r="W1" s="1"/>
      <c r="X1" s="1"/>
      <c r="Y1" s="1"/>
      <c r="Z1" s="1"/>
    </row>
    <row r="2">
      <c r="A2" s="2" t="s">
        <v>0</v>
      </c>
      <c r="B2" s="3" t="s">
        <v>1</v>
      </c>
      <c r="C2" s="3" t="s">
        <v>2</v>
      </c>
      <c r="D2" s="3" t="s">
        <v>3</v>
      </c>
      <c r="E2" s="2" t="s">
        <v>4</v>
      </c>
      <c r="F2" s="3" t="s">
        <v>5</v>
      </c>
      <c r="G2" s="2" t="s">
        <v>6</v>
      </c>
      <c r="H2" s="2" t="s">
        <v>7</v>
      </c>
      <c r="I2" s="2" t="s">
        <v>8</v>
      </c>
      <c r="J2" s="2" t="s">
        <v>9</v>
      </c>
      <c r="K2" s="2" t="s">
        <v>10</v>
      </c>
      <c r="L2" s="2" t="s">
        <v>11</v>
      </c>
      <c r="M2" s="2" t="s">
        <v>12</v>
      </c>
      <c r="N2" s="2" t="s">
        <v>13</v>
      </c>
      <c r="O2" s="4"/>
      <c r="P2" s="4"/>
      <c r="Q2" s="4"/>
      <c r="R2" s="4"/>
      <c r="S2" s="4"/>
      <c r="T2" s="4"/>
      <c r="U2" s="4"/>
      <c r="V2" s="4"/>
      <c r="W2" s="4"/>
      <c r="X2" s="4"/>
      <c r="Y2" s="4"/>
      <c r="Z2" s="4"/>
    </row>
    <row r="3">
      <c r="A3" s="4" t="s">
        <v>14</v>
      </c>
      <c r="B3" s="5" t="s">
        <v>15</v>
      </c>
      <c r="C3" s="5" t="s">
        <v>16</v>
      </c>
      <c r="D3" s="5" t="s">
        <v>17</v>
      </c>
      <c r="E3" s="4" t="s">
        <v>18</v>
      </c>
      <c r="F3" s="5" t="s">
        <v>19</v>
      </c>
      <c r="G3" s="6">
        <v>19.58</v>
      </c>
      <c r="H3" s="7">
        <v>46217.0</v>
      </c>
      <c r="I3" s="4" t="s">
        <v>20</v>
      </c>
      <c r="J3" s="8" t="s">
        <v>21</v>
      </c>
      <c r="K3" s="4" t="s">
        <v>22</v>
      </c>
      <c r="L3" s="4" t="s">
        <v>19</v>
      </c>
      <c r="M3" s="4" t="s">
        <v>23</v>
      </c>
      <c r="N3" s="4"/>
      <c r="O3" s="4"/>
      <c r="P3" s="4"/>
      <c r="Q3" s="4"/>
      <c r="R3" s="4"/>
      <c r="S3" s="4"/>
      <c r="T3" s="4"/>
      <c r="U3" s="4"/>
      <c r="V3" s="4"/>
      <c r="W3" s="4"/>
      <c r="X3" s="4"/>
      <c r="Y3" s="4"/>
      <c r="Z3" s="4"/>
    </row>
    <row r="4">
      <c r="A4" s="4" t="s">
        <v>14</v>
      </c>
      <c r="B4" s="5" t="s">
        <v>24</v>
      </c>
      <c r="C4" s="5" t="s">
        <v>25</v>
      </c>
      <c r="D4" s="5" t="s">
        <v>26</v>
      </c>
      <c r="E4" s="4" t="s">
        <v>18</v>
      </c>
      <c r="F4" s="5" t="s">
        <v>19</v>
      </c>
      <c r="G4" s="6">
        <v>24.056</v>
      </c>
      <c r="H4" s="7">
        <v>46217.0</v>
      </c>
      <c r="I4" s="4" t="s">
        <v>20</v>
      </c>
      <c r="J4" s="8" t="s">
        <v>21</v>
      </c>
      <c r="K4" s="4" t="s">
        <v>22</v>
      </c>
      <c r="L4" s="4" t="s">
        <v>19</v>
      </c>
      <c r="M4" s="4" t="s">
        <v>23</v>
      </c>
      <c r="N4" s="4"/>
      <c r="O4" s="4"/>
      <c r="P4" s="4"/>
      <c r="Q4" s="4"/>
      <c r="R4" s="4"/>
      <c r="S4" s="4"/>
      <c r="T4" s="4"/>
      <c r="U4" s="4"/>
      <c r="V4" s="4"/>
      <c r="W4" s="4"/>
      <c r="X4" s="4"/>
      <c r="Y4" s="4"/>
      <c r="Z4" s="4"/>
    </row>
    <row r="5">
      <c r="A5" s="4" t="s">
        <v>14</v>
      </c>
      <c r="B5" s="5" t="s">
        <v>27</v>
      </c>
      <c r="C5" s="5" t="s">
        <v>28</v>
      </c>
      <c r="D5" s="5" t="s">
        <v>29</v>
      </c>
      <c r="E5" s="4" t="s">
        <v>18</v>
      </c>
      <c r="F5" s="5" t="s">
        <v>19</v>
      </c>
      <c r="G5" s="6">
        <v>56.6821</v>
      </c>
      <c r="H5" s="7">
        <v>46217.0</v>
      </c>
      <c r="I5" s="4" t="s">
        <v>20</v>
      </c>
      <c r="J5" s="8" t="s">
        <v>21</v>
      </c>
      <c r="K5" s="4" t="s">
        <v>22</v>
      </c>
      <c r="L5" s="4" t="s">
        <v>19</v>
      </c>
      <c r="M5" s="4" t="s">
        <v>23</v>
      </c>
      <c r="N5" s="4"/>
      <c r="O5" s="4"/>
      <c r="P5" s="4"/>
      <c r="Q5" s="4"/>
      <c r="R5" s="4"/>
      <c r="S5" s="4"/>
      <c r="T5" s="4"/>
      <c r="U5" s="4"/>
      <c r="V5" s="4"/>
      <c r="W5" s="4"/>
      <c r="X5" s="4"/>
      <c r="Y5" s="4"/>
      <c r="Z5" s="4"/>
    </row>
    <row r="6">
      <c r="A6" s="4" t="s">
        <v>14</v>
      </c>
      <c r="B6" s="5" t="s">
        <v>30</v>
      </c>
      <c r="C6" s="5" t="s">
        <v>31</v>
      </c>
      <c r="D6" s="5" t="s">
        <v>32</v>
      </c>
      <c r="E6" s="4" t="s">
        <v>18</v>
      </c>
      <c r="F6" s="5" t="s">
        <v>19</v>
      </c>
      <c r="G6" s="6">
        <v>56.5497</v>
      </c>
      <c r="H6" s="7">
        <v>46217.0</v>
      </c>
      <c r="I6" s="4" t="s">
        <v>20</v>
      </c>
      <c r="J6" s="8" t="s">
        <v>21</v>
      </c>
      <c r="K6" s="4" t="s">
        <v>22</v>
      </c>
      <c r="L6" s="4" t="s">
        <v>19</v>
      </c>
      <c r="M6" s="4" t="s">
        <v>23</v>
      </c>
      <c r="N6" s="4"/>
      <c r="O6" s="4"/>
      <c r="P6" s="4"/>
      <c r="Q6" s="4"/>
      <c r="R6" s="4"/>
      <c r="S6" s="4"/>
      <c r="T6" s="4"/>
      <c r="U6" s="4"/>
      <c r="V6" s="4"/>
      <c r="W6" s="4"/>
      <c r="X6" s="4"/>
      <c r="Y6" s="4"/>
      <c r="Z6" s="4"/>
    </row>
    <row r="7">
      <c r="A7" s="4" t="s">
        <v>14</v>
      </c>
      <c r="B7" s="5" t="s">
        <v>33</v>
      </c>
      <c r="C7" s="5" t="s">
        <v>34</v>
      </c>
      <c r="D7" s="5" t="s">
        <v>35</v>
      </c>
      <c r="E7" s="4" t="s">
        <v>18</v>
      </c>
      <c r="F7" s="5" t="s">
        <v>19</v>
      </c>
      <c r="G7" s="6">
        <v>45.8641</v>
      </c>
      <c r="H7" s="7">
        <v>46217.0</v>
      </c>
      <c r="I7" s="4" t="s">
        <v>20</v>
      </c>
      <c r="J7" s="8" t="s">
        <v>21</v>
      </c>
      <c r="K7" s="4" t="s">
        <v>22</v>
      </c>
      <c r="L7" s="4" t="s">
        <v>19</v>
      </c>
      <c r="M7" s="4" t="s">
        <v>23</v>
      </c>
      <c r="N7" s="4"/>
      <c r="O7" s="4"/>
      <c r="P7" s="4"/>
      <c r="Q7" s="4"/>
      <c r="R7" s="4"/>
      <c r="S7" s="4"/>
      <c r="T7" s="4"/>
      <c r="U7" s="4"/>
      <c r="V7" s="4"/>
      <c r="W7" s="4"/>
      <c r="X7" s="4"/>
      <c r="Y7" s="4"/>
      <c r="Z7" s="4"/>
    </row>
    <row r="8">
      <c r="A8" s="4" t="s">
        <v>14</v>
      </c>
      <c r="B8" s="5" t="s">
        <v>36</v>
      </c>
      <c r="C8" s="5" t="s">
        <v>37</v>
      </c>
      <c r="D8" s="5" t="s">
        <v>38</v>
      </c>
      <c r="E8" s="4" t="s">
        <v>18</v>
      </c>
      <c r="F8" s="5" t="s">
        <v>19</v>
      </c>
      <c r="G8" s="6">
        <v>60.9943</v>
      </c>
      <c r="H8" s="7">
        <v>46217.0</v>
      </c>
      <c r="I8" s="4" t="s">
        <v>20</v>
      </c>
      <c r="J8" s="8" t="s">
        <v>21</v>
      </c>
      <c r="K8" s="4" t="s">
        <v>22</v>
      </c>
      <c r="L8" s="4" t="s">
        <v>19</v>
      </c>
      <c r="M8" s="4" t="s">
        <v>23</v>
      </c>
      <c r="N8" s="4"/>
      <c r="O8" s="4"/>
      <c r="P8" s="4"/>
      <c r="Q8" s="4"/>
      <c r="R8" s="4"/>
      <c r="S8" s="4"/>
      <c r="T8" s="4"/>
      <c r="U8" s="4"/>
      <c r="V8" s="4"/>
      <c r="W8" s="4"/>
      <c r="X8" s="4"/>
      <c r="Y8" s="4"/>
      <c r="Z8" s="4"/>
    </row>
    <row r="9">
      <c r="A9" s="4" t="s">
        <v>14</v>
      </c>
      <c r="B9" s="5" t="s">
        <v>39</v>
      </c>
      <c r="C9" s="5" t="s">
        <v>40</v>
      </c>
      <c r="D9" s="5" t="s">
        <v>41</v>
      </c>
      <c r="E9" s="4" t="s">
        <v>18</v>
      </c>
      <c r="F9" s="5" t="s">
        <v>19</v>
      </c>
      <c r="G9" s="6">
        <v>29.6246</v>
      </c>
      <c r="H9" s="7">
        <v>46217.0</v>
      </c>
      <c r="I9" s="4" t="s">
        <v>20</v>
      </c>
      <c r="J9" s="8" t="s">
        <v>21</v>
      </c>
      <c r="K9" s="4" t="s">
        <v>22</v>
      </c>
      <c r="L9" s="4" t="s">
        <v>19</v>
      </c>
      <c r="M9" s="4" t="s">
        <v>23</v>
      </c>
      <c r="N9" s="4"/>
      <c r="O9" s="4"/>
      <c r="P9" s="4"/>
      <c r="Q9" s="4"/>
      <c r="R9" s="4"/>
      <c r="S9" s="4"/>
      <c r="T9" s="4"/>
      <c r="U9" s="4"/>
      <c r="V9" s="4"/>
      <c r="W9" s="4"/>
      <c r="X9" s="4"/>
      <c r="Y9" s="4"/>
      <c r="Z9" s="4"/>
    </row>
    <row r="10">
      <c r="A10" s="4" t="s">
        <v>14</v>
      </c>
      <c r="B10" s="5" t="s">
        <v>42</v>
      </c>
      <c r="C10" s="5" t="s">
        <v>43</v>
      </c>
      <c r="D10" s="5" t="s">
        <v>44</v>
      </c>
      <c r="E10" s="4" t="s">
        <v>18</v>
      </c>
      <c r="F10" s="5" t="s">
        <v>19</v>
      </c>
      <c r="G10" s="6">
        <v>24.6226</v>
      </c>
      <c r="H10" s="7">
        <v>46217.0</v>
      </c>
      <c r="I10" s="4" t="s">
        <v>20</v>
      </c>
      <c r="J10" s="8" t="s">
        <v>21</v>
      </c>
      <c r="K10" s="4" t="s">
        <v>22</v>
      </c>
      <c r="L10" s="4" t="s">
        <v>19</v>
      </c>
      <c r="M10" s="4" t="s">
        <v>23</v>
      </c>
      <c r="N10" s="4"/>
      <c r="O10" s="4"/>
      <c r="P10" s="4"/>
      <c r="Q10" s="4"/>
      <c r="R10" s="4"/>
      <c r="S10" s="4"/>
      <c r="T10" s="4"/>
      <c r="U10" s="4"/>
      <c r="V10" s="4"/>
      <c r="W10" s="4"/>
      <c r="X10" s="4"/>
      <c r="Y10" s="4"/>
      <c r="Z10" s="4"/>
    </row>
    <row r="11">
      <c r="A11" s="4" t="s">
        <v>14</v>
      </c>
      <c r="B11" s="5" t="s">
        <v>45</v>
      </c>
      <c r="C11" s="5" t="s">
        <v>46</v>
      </c>
      <c r="D11" s="5" t="s">
        <v>47</v>
      </c>
      <c r="E11" s="4" t="s">
        <v>48</v>
      </c>
      <c r="F11" s="5" t="s">
        <v>49</v>
      </c>
      <c r="G11" s="6">
        <v>44.3811</v>
      </c>
      <c r="H11" s="7">
        <v>46217.0</v>
      </c>
      <c r="I11" s="4" t="s">
        <v>20</v>
      </c>
      <c r="J11" s="8" t="s">
        <v>21</v>
      </c>
      <c r="K11" s="4" t="s">
        <v>22</v>
      </c>
      <c r="L11" s="4" t="s">
        <v>19</v>
      </c>
      <c r="M11" s="4" t="s">
        <v>23</v>
      </c>
      <c r="N11" s="4"/>
      <c r="O11" s="4"/>
      <c r="P11" s="4"/>
      <c r="Q11" s="4"/>
      <c r="R11" s="4"/>
      <c r="S11" s="4"/>
      <c r="T11" s="4"/>
      <c r="U11" s="4"/>
      <c r="V11" s="4"/>
      <c r="W11" s="4"/>
      <c r="X11" s="4"/>
      <c r="Y11" s="4"/>
      <c r="Z11" s="4"/>
    </row>
    <row r="12">
      <c r="A12" s="4" t="s">
        <v>14</v>
      </c>
      <c r="B12" s="5" t="s">
        <v>50</v>
      </c>
      <c r="C12" s="5" t="s">
        <v>51</v>
      </c>
      <c r="D12" s="5" t="s">
        <v>52</v>
      </c>
      <c r="E12" s="4" t="s">
        <v>48</v>
      </c>
      <c r="F12" s="5" t="s">
        <v>49</v>
      </c>
      <c r="G12" s="6">
        <v>20.2773</v>
      </c>
      <c r="H12" s="7">
        <v>46217.0</v>
      </c>
      <c r="I12" s="4" t="s">
        <v>20</v>
      </c>
      <c r="J12" s="8" t="s">
        <v>21</v>
      </c>
      <c r="K12" s="4" t="s">
        <v>22</v>
      </c>
      <c r="L12" s="4" t="s">
        <v>19</v>
      </c>
      <c r="M12" s="4" t="s">
        <v>23</v>
      </c>
      <c r="N12" s="4"/>
      <c r="O12" s="4"/>
      <c r="P12" s="4"/>
      <c r="Q12" s="4"/>
      <c r="R12" s="4"/>
      <c r="S12" s="4"/>
      <c r="T12" s="4"/>
      <c r="U12" s="4"/>
      <c r="V12" s="4"/>
      <c r="W12" s="4"/>
      <c r="X12" s="4"/>
      <c r="Y12" s="4"/>
      <c r="Z12" s="4"/>
    </row>
    <row r="13">
      <c r="A13" s="4" t="s">
        <v>14</v>
      </c>
      <c r="B13" s="5" t="s">
        <v>53</v>
      </c>
      <c r="C13" s="5" t="s">
        <v>54</v>
      </c>
      <c r="D13" s="5" t="s">
        <v>55</v>
      </c>
      <c r="E13" s="4" t="s">
        <v>56</v>
      </c>
      <c r="F13" s="5" t="s">
        <v>57</v>
      </c>
      <c r="G13" s="6">
        <v>16.408</v>
      </c>
      <c r="H13" s="7">
        <v>46217.0</v>
      </c>
      <c r="I13" s="4" t="s">
        <v>20</v>
      </c>
      <c r="J13" s="8" t="s">
        <v>21</v>
      </c>
      <c r="K13" s="4" t="s">
        <v>22</v>
      </c>
      <c r="L13" s="4" t="s">
        <v>19</v>
      </c>
      <c r="M13" s="4" t="s">
        <v>23</v>
      </c>
      <c r="N13" s="4"/>
      <c r="O13" s="4"/>
      <c r="P13" s="4"/>
      <c r="Q13" s="4"/>
      <c r="R13" s="4"/>
      <c r="S13" s="4"/>
      <c r="T13" s="4"/>
      <c r="U13" s="4"/>
      <c r="V13" s="4"/>
      <c r="W13" s="4"/>
      <c r="X13" s="4"/>
      <c r="Y13" s="4"/>
      <c r="Z13" s="4"/>
    </row>
    <row r="14">
      <c r="A14" s="4" t="s">
        <v>14</v>
      </c>
      <c r="B14" s="5" t="s">
        <v>58</v>
      </c>
      <c r="C14" s="5" t="s">
        <v>54</v>
      </c>
      <c r="D14" s="5" t="s">
        <v>59</v>
      </c>
      <c r="E14" s="4" t="s">
        <v>56</v>
      </c>
      <c r="F14" s="5" t="s">
        <v>57</v>
      </c>
      <c r="G14" s="6">
        <v>33.3692</v>
      </c>
      <c r="H14" s="7">
        <v>46217.0</v>
      </c>
      <c r="I14" s="4" t="s">
        <v>20</v>
      </c>
      <c r="J14" s="8" t="s">
        <v>21</v>
      </c>
      <c r="K14" s="4" t="s">
        <v>22</v>
      </c>
      <c r="L14" s="4" t="s">
        <v>19</v>
      </c>
      <c r="M14" s="4" t="s">
        <v>23</v>
      </c>
      <c r="N14" s="4"/>
      <c r="O14" s="4"/>
      <c r="P14" s="4"/>
      <c r="Q14" s="4"/>
      <c r="R14" s="4"/>
      <c r="S14" s="4"/>
      <c r="T14" s="4"/>
      <c r="U14" s="4"/>
      <c r="V14" s="4"/>
      <c r="W14" s="4"/>
      <c r="X14" s="4"/>
      <c r="Y14" s="4"/>
      <c r="Z14" s="4"/>
    </row>
    <row r="15">
      <c r="A15" s="4" t="s">
        <v>14</v>
      </c>
      <c r="B15" s="5" t="s">
        <v>60</v>
      </c>
      <c r="C15" s="5" t="s">
        <v>61</v>
      </c>
      <c r="D15" s="5" t="s">
        <v>62</v>
      </c>
      <c r="E15" s="4" t="s">
        <v>56</v>
      </c>
      <c r="F15" s="5" t="s">
        <v>57</v>
      </c>
      <c r="G15" s="6">
        <v>29.8732</v>
      </c>
      <c r="H15" s="7">
        <v>46217.0</v>
      </c>
      <c r="I15" s="4" t="s">
        <v>20</v>
      </c>
      <c r="J15" s="8" t="s">
        <v>21</v>
      </c>
      <c r="K15" s="4" t="s">
        <v>22</v>
      </c>
      <c r="L15" s="4" t="s">
        <v>19</v>
      </c>
      <c r="M15" s="4" t="s">
        <v>23</v>
      </c>
      <c r="N15" s="4"/>
      <c r="O15" s="4"/>
      <c r="P15" s="4"/>
      <c r="Q15" s="4"/>
      <c r="R15" s="4"/>
      <c r="S15" s="4"/>
      <c r="T15" s="4"/>
      <c r="U15" s="4"/>
      <c r="V15" s="4"/>
      <c r="W15" s="4"/>
      <c r="X15" s="4"/>
      <c r="Y15" s="4"/>
      <c r="Z15" s="4"/>
    </row>
    <row r="16">
      <c r="A16" s="4" t="s">
        <v>14</v>
      </c>
      <c r="B16" s="5" t="s">
        <v>63</v>
      </c>
      <c r="C16" s="5" t="s">
        <v>64</v>
      </c>
      <c r="D16" s="5" t="s">
        <v>65</v>
      </c>
      <c r="E16" s="4" t="s">
        <v>48</v>
      </c>
      <c r="F16" s="5" t="s">
        <v>19</v>
      </c>
      <c r="G16" s="6">
        <v>18.0666</v>
      </c>
      <c r="H16" s="7">
        <v>46217.0</v>
      </c>
      <c r="I16" s="4" t="s">
        <v>20</v>
      </c>
      <c r="J16" s="8" t="s">
        <v>21</v>
      </c>
      <c r="K16" s="4" t="s">
        <v>22</v>
      </c>
      <c r="L16" s="4" t="s">
        <v>19</v>
      </c>
      <c r="M16" s="4" t="s">
        <v>23</v>
      </c>
      <c r="N16" s="4"/>
      <c r="O16" s="4"/>
      <c r="P16" s="4"/>
      <c r="Q16" s="4"/>
      <c r="R16" s="4"/>
      <c r="S16" s="4"/>
      <c r="T16" s="4"/>
      <c r="U16" s="4"/>
      <c r="V16" s="4"/>
      <c r="W16" s="4"/>
      <c r="X16" s="4"/>
      <c r="Y16" s="4"/>
      <c r="Z16" s="4"/>
    </row>
    <row r="17">
      <c r="A17" s="4" t="s">
        <v>14</v>
      </c>
      <c r="B17" s="5" t="s">
        <v>66</v>
      </c>
      <c r="C17" s="5" t="s">
        <v>67</v>
      </c>
      <c r="D17" s="5" t="s">
        <v>68</v>
      </c>
      <c r="E17" s="4" t="s">
        <v>18</v>
      </c>
      <c r="F17" s="5" t="s">
        <v>19</v>
      </c>
      <c r="G17" s="6">
        <v>14.178</v>
      </c>
      <c r="H17" s="7">
        <v>46217.0</v>
      </c>
      <c r="I17" s="4" t="s">
        <v>20</v>
      </c>
      <c r="J17" s="8" t="s">
        <v>21</v>
      </c>
      <c r="K17" s="4" t="s">
        <v>22</v>
      </c>
      <c r="L17" s="4" t="s">
        <v>19</v>
      </c>
      <c r="M17" s="4" t="s">
        <v>23</v>
      </c>
      <c r="N17" s="4"/>
      <c r="O17" s="4"/>
      <c r="P17" s="4"/>
      <c r="Q17" s="4"/>
      <c r="R17" s="4"/>
      <c r="S17" s="4"/>
      <c r="T17" s="4"/>
      <c r="U17" s="4"/>
      <c r="V17" s="4"/>
      <c r="W17" s="4"/>
      <c r="X17" s="4"/>
      <c r="Y17" s="4"/>
      <c r="Z17" s="4"/>
    </row>
    <row r="18">
      <c r="A18" s="4" t="s">
        <v>14</v>
      </c>
      <c r="B18" s="5" t="s">
        <v>69</v>
      </c>
      <c r="C18" s="5" t="s">
        <v>70</v>
      </c>
      <c r="D18" s="5" t="s">
        <v>71</v>
      </c>
      <c r="E18" s="4" t="s">
        <v>18</v>
      </c>
      <c r="F18" s="5" t="s">
        <v>19</v>
      </c>
      <c r="G18" s="6">
        <v>20.4523</v>
      </c>
      <c r="H18" s="7">
        <v>46217.0</v>
      </c>
      <c r="I18" s="4" t="s">
        <v>20</v>
      </c>
      <c r="J18" s="8" t="s">
        <v>21</v>
      </c>
      <c r="K18" s="4" t="s">
        <v>22</v>
      </c>
      <c r="L18" s="4" t="s">
        <v>19</v>
      </c>
      <c r="M18" s="4" t="s">
        <v>23</v>
      </c>
      <c r="N18" s="4"/>
      <c r="O18" s="4"/>
      <c r="P18" s="4"/>
      <c r="Q18" s="4"/>
      <c r="R18" s="4"/>
      <c r="S18" s="4"/>
      <c r="T18" s="4"/>
      <c r="U18" s="4"/>
      <c r="V18" s="4"/>
      <c r="W18" s="4"/>
      <c r="X18" s="4"/>
      <c r="Y18" s="4"/>
      <c r="Z18" s="4"/>
    </row>
    <row r="19">
      <c r="A19" s="4" t="s">
        <v>14</v>
      </c>
      <c r="B19" s="5" t="s">
        <v>72</v>
      </c>
      <c r="C19" s="5" t="s">
        <v>73</v>
      </c>
      <c r="D19" s="5" t="s">
        <v>74</v>
      </c>
      <c r="E19" s="4" t="s">
        <v>48</v>
      </c>
      <c r="F19" s="5" t="s">
        <v>19</v>
      </c>
      <c r="G19" s="6">
        <v>15.0877</v>
      </c>
      <c r="H19" s="7">
        <v>46217.0</v>
      </c>
      <c r="I19" s="4" t="s">
        <v>20</v>
      </c>
      <c r="J19" s="8" t="s">
        <v>21</v>
      </c>
      <c r="K19" s="4" t="s">
        <v>22</v>
      </c>
      <c r="L19" s="4" t="s">
        <v>19</v>
      </c>
      <c r="M19" s="4" t="s">
        <v>23</v>
      </c>
      <c r="N19" s="4"/>
      <c r="O19" s="4"/>
      <c r="P19" s="4"/>
      <c r="Q19" s="4"/>
      <c r="R19" s="4"/>
      <c r="S19" s="4"/>
      <c r="T19" s="4"/>
      <c r="U19" s="4"/>
      <c r="V19" s="4"/>
      <c r="W19" s="4"/>
      <c r="X19" s="4"/>
      <c r="Y19" s="4"/>
      <c r="Z19" s="4"/>
    </row>
    <row r="20">
      <c r="A20" s="4" t="s">
        <v>14</v>
      </c>
      <c r="B20" s="5" t="s">
        <v>75</v>
      </c>
      <c r="C20" s="5" t="s">
        <v>76</v>
      </c>
      <c r="D20" s="5" t="s">
        <v>77</v>
      </c>
      <c r="E20" s="4" t="s">
        <v>56</v>
      </c>
      <c r="F20" s="5" t="s">
        <v>49</v>
      </c>
      <c r="G20" s="6">
        <v>11.9314</v>
      </c>
      <c r="H20" s="7">
        <v>46217.0</v>
      </c>
      <c r="I20" s="4" t="s">
        <v>20</v>
      </c>
      <c r="J20" s="8" t="s">
        <v>21</v>
      </c>
      <c r="K20" s="4" t="s">
        <v>22</v>
      </c>
      <c r="L20" s="4" t="s">
        <v>19</v>
      </c>
      <c r="M20" s="4" t="s">
        <v>23</v>
      </c>
      <c r="N20" s="4"/>
      <c r="O20" s="4"/>
      <c r="P20" s="4"/>
      <c r="Q20" s="4"/>
      <c r="R20" s="4"/>
      <c r="S20" s="4"/>
      <c r="T20" s="4"/>
      <c r="U20" s="4"/>
      <c r="V20" s="4"/>
      <c r="W20" s="4"/>
      <c r="X20" s="4"/>
      <c r="Y20" s="4"/>
      <c r="Z20" s="4"/>
    </row>
    <row r="21">
      <c r="A21" s="4" t="s">
        <v>14</v>
      </c>
      <c r="B21" s="5" t="s">
        <v>78</v>
      </c>
      <c r="C21" s="5" t="s">
        <v>79</v>
      </c>
      <c r="D21" s="5" t="s">
        <v>80</v>
      </c>
      <c r="E21" s="4" t="s">
        <v>18</v>
      </c>
      <c r="F21" s="5" t="s">
        <v>19</v>
      </c>
      <c r="G21" s="6">
        <v>14.7236</v>
      </c>
      <c r="H21" s="7">
        <v>46217.0</v>
      </c>
      <c r="I21" s="4" t="s">
        <v>20</v>
      </c>
      <c r="J21" s="8" t="s">
        <v>21</v>
      </c>
      <c r="K21" s="4" t="s">
        <v>22</v>
      </c>
      <c r="L21" s="4" t="s">
        <v>19</v>
      </c>
      <c r="M21" s="4" t="s">
        <v>23</v>
      </c>
      <c r="N21" s="4"/>
      <c r="O21" s="4"/>
      <c r="P21" s="4"/>
      <c r="Q21" s="4"/>
      <c r="R21" s="4"/>
      <c r="S21" s="4"/>
      <c r="T21" s="4"/>
      <c r="U21" s="4"/>
      <c r="V21" s="4"/>
      <c r="W21" s="4"/>
      <c r="X21" s="4"/>
      <c r="Y21" s="4"/>
      <c r="Z21" s="4"/>
    </row>
    <row r="22">
      <c r="A22" s="4" t="s">
        <v>14</v>
      </c>
      <c r="B22" s="5" t="s">
        <v>81</v>
      </c>
      <c r="C22" s="5" t="s">
        <v>82</v>
      </c>
      <c r="D22" s="5" t="s">
        <v>83</v>
      </c>
      <c r="E22" s="4" t="s">
        <v>18</v>
      </c>
      <c r="F22" s="5" t="s">
        <v>19</v>
      </c>
      <c r="G22" s="6">
        <v>11.3306</v>
      </c>
      <c r="H22" s="7">
        <v>46217.0</v>
      </c>
      <c r="I22" s="4" t="s">
        <v>20</v>
      </c>
      <c r="J22" s="8" t="s">
        <v>21</v>
      </c>
      <c r="K22" s="4" t="s">
        <v>22</v>
      </c>
      <c r="L22" s="4" t="s">
        <v>19</v>
      </c>
      <c r="M22" s="4" t="s">
        <v>23</v>
      </c>
      <c r="N22" s="4"/>
      <c r="O22" s="4"/>
      <c r="P22" s="4"/>
      <c r="Q22" s="4"/>
      <c r="R22" s="4"/>
      <c r="S22" s="4"/>
      <c r="T22" s="4"/>
      <c r="U22" s="4"/>
      <c r="V22" s="4"/>
      <c r="W22" s="4"/>
      <c r="X22" s="4"/>
      <c r="Y22" s="4"/>
      <c r="Z22" s="4"/>
    </row>
    <row r="23">
      <c r="A23" s="4" t="s">
        <v>14</v>
      </c>
      <c r="B23" s="5" t="s">
        <v>84</v>
      </c>
      <c r="C23" s="5" t="s">
        <v>85</v>
      </c>
      <c r="D23" s="5" t="s">
        <v>86</v>
      </c>
      <c r="E23" s="4" t="s">
        <v>18</v>
      </c>
      <c r="F23" s="5" t="s">
        <v>19</v>
      </c>
      <c r="G23" s="6">
        <v>11.6329</v>
      </c>
      <c r="H23" s="7">
        <v>46217.0</v>
      </c>
      <c r="I23" s="4" t="s">
        <v>20</v>
      </c>
      <c r="J23" s="8" t="s">
        <v>21</v>
      </c>
      <c r="K23" s="4" t="s">
        <v>22</v>
      </c>
      <c r="L23" s="4" t="s">
        <v>19</v>
      </c>
      <c r="M23" s="4" t="s">
        <v>23</v>
      </c>
      <c r="N23" s="4"/>
      <c r="O23" s="4"/>
      <c r="P23" s="4"/>
      <c r="Q23" s="4"/>
      <c r="R23" s="4"/>
      <c r="S23" s="4"/>
      <c r="T23" s="4"/>
      <c r="U23" s="4"/>
      <c r="V23" s="4"/>
      <c r="W23" s="4"/>
      <c r="X23" s="4"/>
      <c r="Y23" s="4"/>
      <c r="Z23" s="4"/>
    </row>
    <row r="24">
      <c r="A24" s="4" t="s">
        <v>14</v>
      </c>
      <c r="B24" s="5" t="s">
        <v>87</v>
      </c>
      <c r="C24" s="5" t="s">
        <v>88</v>
      </c>
      <c r="D24" s="5" t="s">
        <v>89</v>
      </c>
      <c r="E24" s="4" t="s">
        <v>18</v>
      </c>
      <c r="F24" s="5" t="s">
        <v>19</v>
      </c>
      <c r="G24" s="6">
        <v>11.4957</v>
      </c>
      <c r="H24" s="7">
        <v>46217.0</v>
      </c>
      <c r="I24" s="4" t="s">
        <v>20</v>
      </c>
      <c r="J24" s="8" t="s">
        <v>21</v>
      </c>
      <c r="K24" s="4" t="s">
        <v>22</v>
      </c>
      <c r="L24" s="4" t="s">
        <v>19</v>
      </c>
      <c r="M24" s="4" t="s">
        <v>23</v>
      </c>
      <c r="N24" s="4"/>
      <c r="O24" s="4"/>
      <c r="P24" s="4"/>
      <c r="Q24" s="4"/>
      <c r="R24" s="4"/>
      <c r="S24" s="4"/>
      <c r="T24" s="4"/>
      <c r="U24" s="4"/>
      <c r="V24" s="4"/>
      <c r="W24" s="4"/>
      <c r="X24" s="4"/>
      <c r="Y24" s="4"/>
      <c r="Z24" s="4"/>
    </row>
    <row r="25">
      <c r="A25" s="4" t="s">
        <v>14</v>
      </c>
      <c r="B25" s="5" t="s">
        <v>90</v>
      </c>
      <c r="C25" s="5" t="s">
        <v>91</v>
      </c>
      <c r="D25" s="5" t="s">
        <v>92</v>
      </c>
      <c r="E25" s="4" t="s">
        <v>18</v>
      </c>
      <c r="F25" s="5" t="s">
        <v>19</v>
      </c>
      <c r="G25" s="6">
        <v>9.3398</v>
      </c>
      <c r="H25" s="7">
        <v>46217.0</v>
      </c>
      <c r="I25" s="4" t="s">
        <v>20</v>
      </c>
      <c r="J25" s="8" t="s">
        <v>21</v>
      </c>
      <c r="K25" s="4" t="s">
        <v>22</v>
      </c>
      <c r="L25" s="4" t="s">
        <v>19</v>
      </c>
      <c r="M25" s="4" t="s">
        <v>23</v>
      </c>
      <c r="N25" s="4"/>
      <c r="O25" s="4"/>
      <c r="P25" s="4"/>
      <c r="Q25" s="4"/>
      <c r="R25" s="4"/>
      <c r="S25" s="4"/>
      <c r="T25" s="4"/>
      <c r="U25" s="4"/>
      <c r="V25" s="4"/>
      <c r="W25" s="4"/>
      <c r="X25" s="4"/>
      <c r="Y25" s="4"/>
      <c r="Z25" s="4"/>
    </row>
    <row r="26">
      <c r="A26" s="4" t="s">
        <v>14</v>
      </c>
      <c r="B26" s="5" t="s">
        <v>93</v>
      </c>
      <c r="C26" s="5" t="s">
        <v>94</v>
      </c>
      <c r="D26" s="5" t="s">
        <v>95</v>
      </c>
      <c r="E26" s="4" t="s">
        <v>18</v>
      </c>
      <c r="F26" s="5" t="s">
        <v>19</v>
      </c>
      <c r="G26" s="6">
        <v>10.5288</v>
      </c>
      <c r="H26" s="7">
        <v>46217.0</v>
      </c>
      <c r="I26" s="4" t="s">
        <v>20</v>
      </c>
      <c r="J26" s="8" t="s">
        <v>21</v>
      </c>
      <c r="K26" s="4" t="s">
        <v>22</v>
      </c>
      <c r="L26" s="4" t="s">
        <v>19</v>
      </c>
      <c r="M26" s="4" t="s">
        <v>23</v>
      </c>
      <c r="N26" s="4"/>
      <c r="O26" s="4"/>
      <c r="P26" s="4"/>
      <c r="Q26" s="4"/>
      <c r="R26" s="4"/>
      <c r="S26" s="4"/>
      <c r="T26" s="4"/>
      <c r="U26" s="4"/>
      <c r="V26" s="4"/>
      <c r="W26" s="4"/>
      <c r="X26" s="4"/>
      <c r="Y26" s="4"/>
      <c r="Z26" s="4"/>
    </row>
    <row r="27">
      <c r="A27" s="4" t="s">
        <v>14</v>
      </c>
      <c r="B27" s="5" t="s">
        <v>96</v>
      </c>
      <c r="C27" s="5" t="s">
        <v>97</v>
      </c>
      <c r="D27" s="5" t="s">
        <v>98</v>
      </c>
      <c r="E27" s="4" t="s">
        <v>18</v>
      </c>
      <c r="F27" s="5" t="s">
        <v>19</v>
      </c>
      <c r="G27" s="6">
        <v>9.9867</v>
      </c>
      <c r="H27" s="7">
        <v>46217.0</v>
      </c>
      <c r="I27" s="4" t="s">
        <v>20</v>
      </c>
      <c r="J27" s="8" t="s">
        <v>21</v>
      </c>
      <c r="K27" s="4" t="s">
        <v>22</v>
      </c>
      <c r="L27" s="4" t="s">
        <v>19</v>
      </c>
      <c r="M27" s="4" t="s">
        <v>23</v>
      </c>
      <c r="N27" s="4"/>
      <c r="O27" s="4"/>
      <c r="P27" s="4"/>
      <c r="Q27" s="4"/>
      <c r="R27" s="4"/>
      <c r="S27" s="4"/>
      <c r="T27" s="4"/>
      <c r="U27" s="4"/>
      <c r="V27" s="4"/>
      <c r="W27" s="4"/>
      <c r="X27" s="4"/>
      <c r="Y27" s="4"/>
      <c r="Z27" s="4"/>
    </row>
    <row r="28">
      <c r="A28" s="4" t="s">
        <v>14</v>
      </c>
      <c r="B28" s="5" t="s">
        <v>99</v>
      </c>
      <c r="C28" s="5" t="s">
        <v>100</v>
      </c>
      <c r="D28" s="5" t="s">
        <v>101</v>
      </c>
      <c r="E28" s="4" t="s">
        <v>18</v>
      </c>
      <c r="F28" s="5" t="s">
        <v>19</v>
      </c>
      <c r="G28" s="6">
        <v>10.6671</v>
      </c>
      <c r="H28" s="7">
        <v>46217.0</v>
      </c>
      <c r="I28" s="4" t="s">
        <v>20</v>
      </c>
      <c r="J28" s="8" t="s">
        <v>21</v>
      </c>
      <c r="K28" s="4" t="s">
        <v>22</v>
      </c>
      <c r="L28" s="4" t="s">
        <v>19</v>
      </c>
      <c r="M28" s="4" t="s">
        <v>23</v>
      </c>
      <c r="N28" s="4"/>
      <c r="O28" s="4"/>
      <c r="P28" s="4"/>
      <c r="Q28" s="4"/>
      <c r="R28" s="4"/>
      <c r="S28" s="4"/>
      <c r="T28" s="4"/>
      <c r="U28" s="4"/>
      <c r="V28" s="4"/>
      <c r="W28" s="4"/>
      <c r="X28" s="4"/>
      <c r="Y28" s="4"/>
      <c r="Z28" s="4"/>
    </row>
    <row r="29">
      <c r="A29" s="4" t="s">
        <v>14</v>
      </c>
      <c r="B29" s="5" t="s">
        <v>102</v>
      </c>
      <c r="C29" s="5" t="s">
        <v>103</v>
      </c>
      <c r="D29" s="5" t="s">
        <v>104</v>
      </c>
      <c r="E29" s="4" t="s">
        <v>18</v>
      </c>
      <c r="F29" s="5" t="s">
        <v>19</v>
      </c>
      <c r="G29" s="6">
        <v>10.0456</v>
      </c>
      <c r="H29" s="7">
        <v>46217.0</v>
      </c>
      <c r="I29" s="4" t="s">
        <v>20</v>
      </c>
      <c r="J29" s="8" t="s">
        <v>21</v>
      </c>
      <c r="K29" s="4" t="s">
        <v>22</v>
      </c>
      <c r="L29" s="4" t="s">
        <v>19</v>
      </c>
      <c r="M29" s="4" t="s">
        <v>23</v>
      </c>
      <c r="N29" s="4"/>
      <c r="O29" s="4"/>
      <c r="P29" s="4"/>
      <c r="Q29" s="4"/>
      <c r="R29" s="4"/>
      <c r="S29" s="4"/>
      <c r="T29" s="4"/>
      <c r="U29" s="4"/>
      <c r="V29" s="4"/>
      <c r="W29" s="4"/>
      <c r="X29" s="4"/>
      <c r="Y29" s="4"/>
      <c r="Z29" s="4"/>
    </row>
    <row r="30">
      <c r="A30" s="4" t="s">
        <v>14</v>
      </c>
      <c r="B30" s="5" t="s">
        <v>105</v>
      </c>
      <c r="C30" s="5" t="s">
        <v>106</v>
      </c>
      <c r="D30" s="5" t="s">
        <v>107</v>
      </c>
      <c r="E30" s="4" t="s">
        <v>18</v>
      </c>
      <c r="F30" s="5" t="s">
        <v>19</v>
      </c>
      <c r="G30" s="6">
        <v>9.4997</v>
      </c>
      <c r="H30" s="7">
        <v>46217.0</v>
      </c>
      <c r="I30" s="4" t="s">
        <v>20</v>
      </c>
      <c r="J30" s="8" t="s">
        <v>21</v>
      </c>
      <c r="K30" s="4" t="s">
        <v>22</v>
      </c>
      <c r="L30" s="4" t="s">
        <v>19</v>
      </c>
      <c r="M30" s="4" t="s">
        <v>23</v>
      </c>
      <c r="N30" s="4"/>
      <c r="O30" s="4"/>
      <c r="P30" s="4"/>
      <c r="Q30" s="4"/>
      <c r="R30" s="4"/>
      <c r="S30" s="4"/>
      <c r="T30" s="4"/>
      <c r="U30" s="4"/>
      <c r="V30" s="4"/>
      <c r="W30" s="4"/>
      <c r="X30" s="4"/>
      <c r="Y30" s="4"/>
      <c r="Z30" s="4"/>
    </row>
    <row r="31">
      <c r="A31" s="4" t="s">
        <v>14</v>
      </c>
      <c r="B31" s="5" t="s">
        <v>108</v>
      </c>
      <c r="C31" s="5" t="s">
        <v>109</v>
      </c>
      <c r="D31" s="5" t="s">
        <v>110</v>
      </c>
      <c r="E31" s="4" t="s">
        <v>18</v>
      </c>
      <c r="F31" s="5" t="s">
        <v>19</v>
      </c>
      <c r="G31" s="6">
        <v>9.7991</v>
      </c>
      <c r="H31" s="7">
        <v>46217.0</v>
      </c>
      <c r="I31" s="4" t="s">
        <v>20</v>
      </c>
      <c r="J31" s="8" t="s">
        <v>21</v>
      </c>
      <c r="K31" s="4" t="s">
        <v>22</v>
      </c>
      <c r="L31" s="4" t="s">
        <v>19</v>
      </c>
      <c r="M31" s="4" t="s">
        <v>23</v>
      </c>
      <c r="N31" s="4"/>
      <c r="O31" s="4"/>
      <c r="P31" s="4"/>
      <c r="Q31" s="4"/>
      <c r="R31" s="4"/>
      <c r="S31" s="4"/>
      <c r="T31" s="4"/>
      <c r="U31" s="4"/>
      <c r="V31" s="4"/>
      <c r="W31" s="4"/>
      <c r="X31" s="4"/>
      <c r="Y31" s="4"/>
      <c r="Z31" s="4"/>
    </row>
    <row r="32">
      <c r="A32" s="4" t="s">
        <v>14</v>
      </c>
      <c r="B32" s="5" t="s">
        <v>111</v>
      </c>
      <c r="C32" s="5" t="s">
        <v>112</v>
      </c>
      <c r="D32" s="5" t="s">
        <v>113</v>
      </c>
      <c r="E32" s="4" t="s">
        <v>18</v>
      </c>
      <c r="F32" s="5" t="s">
        <v>19</v>
      </c>
      <c r="G32" s="6">
        <v>12.0812</v>
      </c>
      <c r="H32" s="7">
        <v>46217.0</v>
      </c>
      <c r="I32" s="4" t="s">
        <v>20</v>
      </c>
      <c r="J32" s="8" t="s">
        <v>21</v>
      </c>
      <c r="K32" s="4" t="s">
        <v>22</v>
      </c>
      <c r="L32" s="4" t="s">
        <v>19</v>
      </c>
      <c r="M32" s="4" t="s">
        <v>23</v>
      </c>
      <c r="N32" s="4"/>
      <c r="O32" s="4"/>
      <c r="P32" s="4"/>
      <c r="Q32" s="4"/>
      <c r="R32" s="4"/>
      <c r="S32" s="4"/>
      <c r="T32" s="4"/>
      <c r="U32" s="4"/>
      <c r="V32" s="4"/>
      <c r="W32" s="4"/>
      <c r="X32" s="4"/>
      <c r="Y32" s="4"/>
      <c r="Z32" s="4"/>
    </row>
    <row r="33">
      <c r="A33" s="4" t="s">
        <v>14</v>
      </c>
      <c r="B33" s="5" t="s">
        <v>114</v>
      </c>
      <c r="C33" s="5" t="s">
        <v>115</v>
      </c>
      <c r="D33" s="5" t="s">
        <v>116</v>
      </c>
      <c r="E33" s="4" t="s">
        <v>18</v>
      </c>
      <c r="F33" s="5" t="s">
        <v>19</v>
      </c>
      <c r="G33" s="6">
        <v>9.9652</v>
      </c>
      <c r="H33" s="7">
        <v>46217.0</v>
      </c>
      <c r="I33" s="4" t="s">
        <v>20</v>
      </c>
      <c r="J33" s="8" t="s">
        <v>21</v>
      </c>
      <c r="K33" s="4" t="s">
        <v>22</v>
      </c>
      <c r="L33" s="4" t="s">
        <v>19</v>
      </c>
      <c r="M33" s="4" t="s">
        <v>23</v>
      </c>
      <c r="N33" s="4"/>
      <c r="O33" s="4"/>
      <c r="P33" s="4"/>
      <c r="Q33" s="4"/>
      <c r="R33" s="4"/>
      <c r="S33" s="4"/>
      <c r="T33" s="4"/>
      <c r="U33" s="4"/>
      <c r="V33" s="4"/>
      <c r="W33" s="4"/>
      <c r="X33" s="4"/>
      <c r="Y33" s="4"/>
      <c r="Z33" s="4"/>
    </row>
    <row r="34">
      <c r="A34" s="4" t="s">
        <v>14</v>
      </c>
      <c r="B34" s="5" t="s">
        <v>117</v>
      </c>
      <c r="C34" s="5" t="s">
        <v>118</v>
      </c>
      <c r="D34" s="5" t="s">
        <v>119</v>
      </c>
      <c r="E34" s="4" t="s">
        <v>18</v>
      </c>
      <c r="F34" s="5" t="s">
        <v>19</v>
      </c>
      <c r="G34" s="6">
        <v>9.7858</v>
      </c>
      <c r="H34" s="7">
        <v>46217.0</v>
      </c>
      <c r="I34" s="4" t="s">
        <v>20</v>
      </c>
      <c r="J34" s="8" t="s">
        <v>21</v>
      </c>
      <c r="K34" s="4" t="s">
        <v>22</v>
      </c>
      <c r="L34" s="4" t="s">
        <v>19</v>
      </c>
      <c r="M34" s="4" t="s">
        <v>23</v>
      </c>
      <c r="N34" s="4"/>
      <c r="O34" s="4"/>
      <c r="P34" s="4"/>
      <c r="Q34" s="4"/>
      <c r="R34" s="4"/>
      <c r="S34" s="4"/>
      <c r="T34" s="4"/>
      <c r="U34" s="4"/>
      <c r="V34" s="4"/>
      <c r="W34" s="4"/>
      <c r="X34" s="4"/>
      <c r="Y34" s="4"/>
      <c r="Z34" s="4"/>
    </row>
    <row r="35">
      <c r="A35" s="4" t="s">
        <v>14</v>
      </c>
      <c r="B35" s="5" t="s">
        <v>120</v>
      </c>
      <c r="C35" s="5" t="s">
        <v>54</v>
      </c>
      <c r="D35" s="5" t="s">
        <v>121</v>
      </c>
      <c r="E35" s="4" t="s">
        <v>56</v>
      </c>
      <c r="F35" s="5" t="s">
        <v>57</v>
      </c>
      <c r="G35" s="4"/>
      <c r="H35" s="7">
        <v>46217.0</v>
      </c>
      <c r="I35" s="4" t="s">
        <v>20</v>
      </c>
      <c r="J35" s="8" t="s">
        <v>122</v>
      </c>
      <c r="K35" s="4" t="s">
        <v>22</v>
      </c>
      <c r="L35" s="4" t="s">
        <v>19</v>
      </c>
      <c r="M35" s="4" t="s">
        <v>23</v>
      </c>
      <c r="N35" s="4"/>
      <c r="O35" s="4"/>
      <c r="P35" s="4"/>
      <c r="Q35" s="4"/>
      <c r="R35" s="4"/>
      <c r="S35" s="4"/>
      <c r="T35" s="4"/>
      <c r="U35" s="4"/>
      <c r="V35" s="4"/>
      <c r="W35" s="4"/>
      <c r="X35" s="4"/>
      <c r="Y35" s="4"/>
      <c r="Z35" s="4"/>
    </row>
    <row r="36">
      <c r="A36" s="4" t="s">
        <v>14</v>
      </c>
      <c r="B36" s="9" t="s">
        <v>123</v>
      </c>
      <c r="C36" s="5" t="s">
        <v>31</v>
      </c>
      <c r="D36" s="5" t="s">
        <v>124</v>
      </c>
      <c r="E36" s="4" t="s">
        <v>18</v>
      </c>
      <c r="F36" s="5" t="s">
        <v>19</v>
      </c>
      <c r="G36" s="6">
        <v>52.3086</v>
      </c>
      <c r="H36" s="7">
        <v>46203.0</v>
      </c>
      <c r="I36" s="4" t="s">
        <v>20</v>
      </c>
      <c r="J36" s="8" t="s">
        <v>125</v>
      </c>
      <c r="K36" s="4" t="s">
        <v>22</v>
      </c>
      <c r="L36" s="4" t="s">
        <v>19</v>
      </c>
      <c r="M36" s="4" t="s">
        <v>23</v>
      </c>
      <c r="N36" s="4"/>
      <c r="O36" s="4"/>
      <c r="P36" s="4"/>
      <c r="Q36" s="4"/>
      <c r="R36" s="4"/>
      <c r="S36" s="4"/>
      <c r="T36" s="4"/>
      <c r="U36" s="4"/>
      <c r="V36" s="4"/>
      <c r="W36" s="4"/>
      <c r="X36" s="4"/>
      <c r="Y36" s="4"/>
      <c r="Z36" s="4"/>
    </row>
    <row r="37">
      <c r="A37" s="4" t="s">
        <v>14</v>
      </c>
      <c r="B37" s="5" t="s">
        <v>126</v>
      </c>
      <c r="C37" s="5" t="s">
        <v>37</v>
      </c>
      <c r="D37" s="5" t="s">
        <v>127</v>
      </c>
      <c r="E37" s="4" t="s">
        <v>18</v>
      </c>
      <c r="F37" s="5" t="s">
        <v>19</v>
      </c>
      <c r="G37" s="6">
        <v>60.0462</v>
      </c>
      <c r="H37" s="7">
        <v>46203.0</v>
      </c>
      <c r="I37" s="4" t="s">
        <v>20</v>
      </c>
      <c r="J37" s="8" t="s">
        <v>125</v>
      </c>
      <c r="K37" s="4" t="s">
        <v>22</v>
      </c>
      <c r="L37" s="4" t="s">
        <v>19</v>
      </c>
      <c r="M37" s="4" t="s">
        <v>23</v>
      </c>
      <c r="N37" s="4"/>
      <c r="O37" s="4"/>
      <c r="P37" s="4"/>
      <c r="Q37" s="4"/>
      <c r="R37" s="4"/>
      <c r="S37" s="4"/>
      <c r="T37" s="4"/>
      <c r="U37" s="4"/>
      <c r="V37" s="4"/>
      <c r="W37" s="4"/>
      <c r="X37" s="4"/>
      <c r="Y37" s="4"/>
      <c r="Z37" s="4"/>
    </row>
    <row r="38">
      <c r="A38" s="4" t="s">
        <v>14</v>
      </c>
      <c r="B38" s="5" t="s">
        <v>128</v>
      </c>
      <c r="C38" s="5" t="s">
        <v>34</v>
      </c>
      <c r="D38" s="5" t="s">
        <v>129</v>
      </c>
      <c r="E38" s="4" t="s">
        <v>18</v>
      </c>
      <c r="F38" s="5" t="s">
        <v>19</v>
      </c>
      <c r="G38" s="6">
        <v>44.2398</v>
      </c>
      <c r="H38" s="7">
        <v>46203.0</v>
      </c>
      <c r="I38" s="4" t="s">
        <v>20</v>
      </c>
      <c r="J38" s="8" t="s">
        <v>125</v>
      </c>
      <c r="K38" s="4" t="s">
        <v>22</v>
      </c>
      <c r="L38" s="4" t="s">
        <v>19</v>
      </c>
      <c r="M38" s="4" t="s">
        <v>23</v>
      </c>
      <c r="N38" s="4"/>
      <c r="O38" s="4"/>
      <c r="P38" s="4"/>
      <c r="Q38" s="4"/>
      <c r="R38" s="4"/>
      <c r="S38" s="4"/>
      <c r="T38" s="4"/>
      <c r="U38" s="4"/>
      <c r="V38" s="4"/>
      <c r="W38" s="4"/>
      <c r="X38" s="4"/>
      <c r="Y38" s="4"/>
      <c r="Z38" s="4"/>
    </row>
    <row r="39">
      <c r="A39" s="4" t="s">
        <v>14</v>
      </c>
      <c r="B39" s="5" t="s">
        <v>130</v>
      </c>
      <c r="C39" s="5" t="s">
        <v>131</v>
      </c>
      <c r="D39" s="5" t="s">
        <v>132</v>
      </c>
      <c r="E39" s="4" t="s">
        <v>18</v>
      </c>
      <c r="F39" s="5" t="s">
        <v>19</v>
      </c>
      <c r="G39" s="6">
        <v>10.2155</v>
      </c>
      <c r="H39" s="7">
        <v>46203.0</v>
      </c>
      <c r="I39" s="4" t="s">
        <v>20</v>
      </c>
      <c r="J39" s="8" t="s">
        <v>125</v>
      </c>
      <c r="K39" s="4" t="s">
        <v>22</v>
      </c>
      <c r="L39" s="4" t="s">
        <v>19</v>
      </c>
      <c r="M39" s="4" t="s">
        <v>23</v>
      </c>
      <c r="N39" s="4"/>
      <c r="O39" s="4"/>
      <c r="P39" s="4"/>
      <c r="Q39" s="4"/>
      <c r="R39" s="4"/>
      <c r="S39" s="4"/>
      <c r="T39" s="4"/>
      <c r="U39" s="4"/>
      <c r="V39" s="4"/>
      <c r="W39" s="4"/>
      <c r="X39" s="4"/>
      <c r="Y39" s="4"/>
      <c r="Z39" s="4"/>
    </row>
    <row r="40">
      <c r="A40" s="4" t="s">
        <v>14</v>
      </c>
      <c r="B40" s="5" t="s">
        <v>133</v>
      </c>
      <c r="C40" s="5" t="s">
        <v>134</v>
      </c>
      <c r="D40" s="5" t="s">
        <v>135</v>
      </c>
      <c r="E40" s="4" t="s">
        <v>18</v>
      </c>
      <c r="F40" s="5" t="s">
        <v>19</v>
      </c>
      <c r="G40" s="6">
        <v>9.6764</v>
      </c>
      <c r="H40" s="7">
        <v>46203.0</v>
      </c>
      <c r="I40" s="4" t="s">
        <v>20</v>
      </c>
      <c r="J40" s="8" t="s">
        <v>125</v>
      </c>
      <c r="K40" s="4" t="s">
        <v>22</v>
      </c>
      <c r="L40" s="4" t="s">
        <v>19</v>
      </c>
      <c r="M40" s="4" t="s">
        <v>23</v>
      </c>
      <c r="N40" s="4"/>
      <c r="O40" s="4"/>
      <c r="P40" s="4"/>
      <c r="Q40" s="4"/>
      <c r="R40" s="4"/>
      <c r="S40" s="4"/>
      <c r="T40" s="4"/>
      <c r="U40" s="4"/>
      <c r="V40" s="4"/>
      <c r="W40" s="4"/>
      <c r="X40" s="4"/>
      <c r="Y40" s="4"/>
      <c r="Z40" s="4"/>
    </row>
    <row r="41">
      <c r="A41" s="4" t="s">
        <v>14</v>
      </c>
      <c r="B41" s="5" t="s">
        <v>136</v>
      </c>
      <c r="C41" s="5" t="s">
        <v>137</v>
      </c>
      <c r="D41" s="5" t="s">
        <v>138</v>
      </c>
      <c r="E41" s="4" t="s">
        <v>48</v>
      </c>
      <c r="F41" s="5" t="s">
        <v>49</v>
      </c>
      <c r="G41" s="6">
        <v>10.7915</v>
      </c>
      <c r="H41" s="7">
        <v>46203.0</v>
      </c>
      <c r="I41" s="4" t="s">
        <v>20</v>
      </c>
      <c r="J41" s="8" t="s">
        <v>125</v>
      </c>
      <c r="K41" s="4" t="s">
        <v>22</v>
      </c>
      <c r="L41" s="4" t="s">
        <v>19</v>
      </c>
      <c r="M41" s="4" t="s">
        <v>23</v>
      </c>
      <c r="N41" s="4"/>
      <c r="O41" s="4"/>
      <c r="P41" s="4"/>
      <c r="Q41" s="4"/>
      <c r="R41" s="4"/>
      <c r="S41" s="4"/>
      <c r="T41" s="4"/>
      <c r="U41" s="4"/>
      <c r="V41" s="4"/>
      <c r="W41" s="4"/>
      <c r="X41" s="4"/>
      <c r="Y41" s="4"/>
      <c r="Z41" s="4"/>
    </row>
    <row r="42">
      <c r="A42" s="4" t="s">
        <v>14</v>
      </c>
      <c r="B42" s="5" t="s">
        <v>139</v>
      </c>
      <c r="C42" s="5" t="s">
        <v>46</v>
      </c>
      <c r="D42" s="5" t="s">
        <v>140</v>
      </c>
      <c r="E42" s="4" t="s">
        <v>48</v>
      </c>
      <c r="F42" s="5" t="s">
        <v>49</v>
      </c>
      <c r="G42" s="6">
        <v>40.9331</v>
      </c>
      <c r="H42" s="7">
        <v>46203.0</v>
      </c>
      <c r="I42" s="4" t="s">
        <v>20</v>
      </c>
      <c r="J42" s="8" t="s">
        <v>125</v>
      </c>
      <c r="K42" s="4" t="s">
        <v>22</v>
      </c>
      <c r="L42" s="4" t="s">
        <v>19</v>
      </c>
      <c r="M42" s="4" t="s">
        <v>23</v>
      </c>
      <c r="N42" s="4"/>
      <c r="O42" s="4"/>
      <c r="P42" s="4"/>
      <c r="Q42" s="4"/>
      <c r="R42" s="4"/>
      <c r="S42" s="4"/>
      <c r="T42" s="4"/>
      <c r="U42" s="4"/>
      <c r="V42" s="4"/>
      <c r="W42" s="4"/>
      <c r="X42" s="4"/>
      <c r="Y42" s="4"/>
      <c r="Z42" s="4"/>
    </row>
    <row r="43">
      <c r="A43" s="4" t="s">
        <v>14</v>
      </c>
      <c r="B43" s="5" t="s">
        <v>141</v>
      </c>
      <c r="C43" s="5" t="s">
        <v>142</v>
      </c>
      <c r="D43" s="5" t="s">
        <v>143</v>
      </c>
      <c r="E43" s="4" t="s">
        <v>56</v>
      </c>
      <c r="F43" s="5" t="s">
        <v>57</v>
      </c>
      <c r="G43" s="6">
        <v>33.5625</v>
      </c>
      <c r="H43" s="7">
        <v>46203.0</v>
      </c>
      <c r="I43" s="4" t="s">
        <v>20</v>
      </c>
      <c r="J43" s="8" t="s">
        <v>125</v>
      </c>
      <c r="K43" s="4" t="s">
        <v>22</v>
      </c>
      <c r="L43" s="4" t="s">
        <v>19</v>
      </c>
      <c r="M43" s="4" t="s">
        <v>23</v>
      </c>
      <c r="N43" s="4"/>
      <c r="O43" s="4"/>
      <c r="P43" s="4"/>
      <c r="Q43" s="4"/>
      <c r="R43" s="4"/>
      <c r="S43" s="4"/>
      <c r="T43" s="4"/>
      <c r="U43" s="4"/>
      <c r="V43" s="4"/>
      <c r="W43" s="4"/>
      <c r="X43" s="4"/>
      <c r="Y43" s="4"/>
      <c r="Z43" s="4"/>
    </row>
    <row r="44">
      <c r="A44" s="4" t="s">
        <v>14</v>
      </c>
      <c r="B44" s="5" t="s">
        <v>144</v>
      </c>
      <c r="C44" s="5" t="s">
        <v>145</v>
      </c>
      <c r="D44" s="5" t="s">
        <v>146</v>
      </c>
      <c r="E44" s="4" t="s">
        <v>56</v>
      </c>
      <c r="F44" s="5" t="s">
        <v>57</v>
      </c>
      <c r="G44" s="6">
        <v>29.5426</v>
      </c>
      <c r="H44" s="7">
        <v>46203.0</v>
      </c>
      <c r="I44" s="4" t="s">
        <v>20</v>
      </c>
      <c r="J44" s="8" t="s">
        <v>125</v>
      </c>
      <c r="K44" s="4" t="s">
        <v>22</v>
      </c>
      <c r="L44" s="4" t="s">
        <v>19</v>
      </c>
      <c r="M44" s="4" t="s">
        <v>23</v>
      </c>
      <c r="N44" s="4"/>
      <c r="O44" s="4"/>
      <c r="P44" s="4"/>
      <c r="Q44" s="4"/>
      <c r="R44" s="4"/>
      <c r="S44" s="4"/>
      <c r="T44" s="4"/>
      <c r="U44" s="4"/>
      <c r="V44" s="4"/>
      <c r="W44" s="4"/>
      <c r="X44" s="4"/>
      <c r="Y44" s="4"/>
      <c r="Z44" s="4"/>
    </row>
    <row r="45">
      <c r="A45" s="4" t="s">
        <v>14</v>
      </c>
      <c r="B45" s="10" t="s">
        <v>120</v>
      </c>
      <c r="C45" s="10" t="s">
        <v>147</v>
      </c>
      <c r="D45" s="10" t="s">
        <v>148</v>
      </c>
      <c r="E45" s="4" t="s">
        <v>56</v>
      </c>
      <c r="F45" s="5" t="s">
        <v>57</v>
      </c>
      <c r="G45" s="10">
        <v>10.2781</v>
      </c>
      <c r="H45" s="11">
        <v>46220.0</v>
      </c>
      <c r="I45" s="10" t="s">
        <v>20</v>
      </c>
      <c r="J45" s="12" t="s">
        <v>149</v>
      </c>
      <c r="K45" s="4" t="s">
        <v>22</v>
      </c>
      <c r="L45" s="4" t="s">
        <v>19</v>
      </c>
      <c r="M45" s="4" t="s">
        <v>23</v>
      </c>
      <c r="N45" s="4"/>
      <c r="O45" s="4"/>
      <c r="P45" s="4"/>
      <c r="Q45" s="4"/>
      <c r="R45" s="4"/>
      <c r="S45" s="4"/>
      <c r="T45" s="4"/>
      <c r="U45" s="4"/>
      <c r="V45" s="4"/>
      <c r="W45" s="4"/>
      <c r="X45" s="4"/>
      <c r="Y45" s="4"/>
      <c r="Z45" s="4"/>
    </row>
    <row r="46">
      <c r="A46" s="13" t="s">
        <v>150</v>
      </c>
      <c r="B46" s="10" t="s">
        <v>151</v>
      </c>
      <c r="C46" s="13" t="s">
        <v>152</v>
      </c>
      <c r="D46" s="13" t="s">
        <v>153</v>
      </c>
      <c r="E46" s="10" t="str">
        <f t="shared" ref="E46:E65" si="1">IF(LOWER(TRIM(A46))&lt;&gt;"hdfc","",IFS(
LOWER(TRIM(B46))="diversified equity fund","Equity",
LOWER(TRIM(B46))="blue chip fund","Equity",
LOWER(TRIM(B46))="balanced fund","Hybrid",
LOWER(TRIM(B46))="bond fund","Debt",
LOWER(TRIM(B46))="discovery fund","Equity",
LOWER(TRIM(B46))="equity advantage fund","Equity",
LOWER(TRIM(B46))="opportunities fund","Equity",
LOWER(TRIM(B46))="liquid fund","Debt",
LOWER(TRIM(B46))="bond plus fund","Debt",
LOWER(TRIM(B46))="secure advantage fund","Hybrid",
LOWER(TRIM(B46))="sustainable equity fund","Equity",
LOWER(TRIM(B46))="flexi cap fund","Equity",
LOWER(TRIM(B46))="midcap momentum fund","Equity",
LOWER(TRIM(B46))="nifty alpha 30 fund","Equity",
LOWER(TRIM(B46))="top 500 momentum 50 fund","Equity",
LOWER(TRIM(B46))="dynamic advantage fund","Hybrid",
LOWER(TRIM(B46))="top 300 alpha 50 fund","Equity",
LOWER(TRIM(B46))="top 500 multifactor 50 fund","Equity",
LOWER(TRIM(B46))="india consumption advantage fund","Equity",
LOWER(TRIM(B46))="india sector leaders opportunities fund","Equity",
LOWER(TRIM(B46))="top 500 smart value 50 fund","Equity",
LOWER(TRIM(B46))="capital growth fund","Equity",
LOWER(TRIM(B46))="capital secure fund","Hybrid",
LOWER(TRIM(B46))="equity plus fund","Equity",
LOWER(TRIM(B46))="conservative fund","Debt",
LOWER(TRIM(B46))="income fund","Debt",
LOWER(TRIM(B46))="secure managed fund","Debt"))</f>
        <v>Equity</v>
      </c>
      <c r="F46" s="13" t="s">
        <v>154</v>
      </c>
      <c r="G46" s="10">
        <f t="shared" ref="G46:G65" si="2">IF(LOWER(TRIM(A46))&lt;&gt;"hdfc","",IFS(
LOWER(TRIM(B46))="diversified equity fund",41.0183,
LOWER(TRIM(B46))="blue chip fund",50.0498,
LOWER(TRIM(B46))="balanced fund",40.5508,
LOWER(TRIM(B46))="bond fund",21.8466,
LOWER(TRIM(B46))="discovery fund",44.789,
LOWER(TRIM(B46))="equity advantage fund",27.9563,
LOWER(TRIM(B46))="opportunities fund",81.5324,
LOWER(TRIM(B46))="liquid fund",83.7861,
LOWER(TRIM(B46))="bond plus fund",15.2859,
LOWER(TRIM(B46))="secure advantage fund",15.1558,
LOWER(TRIM(B46))="sustainable equity fund",14.322,
LOWER(TRIM(B46))="flexi cap fund",15.2513,
LOWER(TRIM(B46))="midcap momentum fund",10.9087,
LOWER(TRIM(B46))="nifty alpha 30 fund",8.8944,
LOWER(TRIM(B46))="top 500 momentum 50 fund",8.6696,
LOWER(TRIM(B46))="dynamic advantage fund",10.6345,
LOWER(TRIM(B46))="top 300 alpha 50 fund",10.1813,
LOWER(TRIM(B46))="top 500 multifactor 50 fund",9.9069,
LOWER(TRIM(B46))="india consumption advantage fund",9.4837,
LOWER(TRIM(B46))="india sector leaders opportunities fund",10.7718,
LOWER(TRIM(B46))="top 500 smart value 50 fund",9.7841,
LOWER(TRIM(B46))="capital growth fund",28.3957,
LOWER(TRIM(B46))="capital secure fund",16.0201,
LOWER(TRIM(B46))="equity plus fund",32.7165,
LOWER(TRIM(B46))="conservative fund",21.1046,
LOWER(TRIM(B46))="income fund",30.3282,
LOWER(TRIM(B46))="secure managed fund",96.3317))</f>
        <v>41.0183</v>
      </c>
      <c r="H46" s="14">
        <v>46223.0</v>
      </c>
      <c r="I46" s="10" t="s">
        <v>20</v>
      </c>
      <c r="J46" s="15"/>
      <c r="K46" s="4" t="s">
        <v>22</v>
      </c>
      <c r="L46" s="4" t="s">
        <v>19</v>
      </c>
      <c r="M46" s="4" t="s">
        <v>23</v>
      </c>
      <c r="N46" s="4"/>
      <c r="O46" s="4"/>
      <c r="P46" s="4"/>
      <c r="Q46" s="4"/>
      <c r="R46" s="4"/>
      <c r="S46" s="4"/>
      <c r="T46" s="4"/>
      <c r="U46" s="4"/>
      <c r="V46" s="4"/>
      <c r="W46" s="4"/>
      <c r="X46" s="4"/>
      <c r="Y46" s="4"/>
      <c r="Z46" s="4"/>
    </row>
    <row r="47">
      <c r="A47" s="13" t="s">
        <v>150</v>
      </c>
      <c r="B47" s="10" t="s">
        <v>155</v>
      </c>
      <c r="C47" s="13" t="s">
        <v>156</v>
      </c>
      <c r="D47" s="13" t="s">
        <v>157</v>
      </c>
      <c r="E47" s="10" t="str">
        <f t="shared" si="1"/>
        <v>Equity</v>
      </c>
      <c r="F47" s="13" t="s">
        <v>154</v>
      </c>
      <c r="G47" s="10">
        <f t="shared" si="2"/>
        <v>50.0498</v>
      </c>
      <c r="H47" s="14">
        <v>46223.0</v>
      </c>
      <c r="I47" s="10" t="s">
        <v>20</v>
      </c>
      <c r="J47" s="4"/>
      <c r="K47" s="4" t="s">
        <v>22</v>
      </c>
      <c r="L47" s="4" t="s">
        <v>19</v>
      </c>
      <c r="M47" s="4" t="s">
        <v>23</v>
      </c>
      <c r="N47" s="4"/>
      <c r="O47" s="4"/>
      <c r="P47" s="4"/>
      <c r="Q47" s="4"/>
      <c r="R47" s="4"/>
      <c r="S47" s="4"/>
      <c r="T47" s="4"/>
      <c r="U47" s="4"/>
      <c r="V47" s="4"/>
      <c r="W47" s="4"/>
      <c r="X47" s="4"/>
      <c r="Y47" s="4"/>
      <c r="Z47" s="4"/>
    </row>
    <row r="48">
      <c r="A48" s="13" t="s">
        <v>150</v>
      </c>
      <c r="B48" s="10" t="s">
        <v>158</v>
      </c>
      <c r="C48" s="13" t="s">
        <v>159</v>
      </c>
      <c r="D48" s="13" t="s">
        <v>160</v>
      </c>
      <c r="E48" s="10" t="str">
        <f t="shared" si="1"/>
        <v>Hybrid</v>
      </c>
      <c r="F48" s="13" t="s">
        <v>161</v>
      </c>
      <c r="G48" s="10">
        <f t="shared" si="2"/>
        <v>40.5508</v>
      </c>
      <c r="H48" s="14">
        <v>46223.0</v>
      </c>
      <c r="I48" s="10" t="s">
        <v>20</v>
      </c>
      <c r="J48" s="4"/>
      <c r="K48" s="4" t="s">
        <v>22</v>
      </c>
      <c r="L48" s="4" t="s">
        <v>19</v>
      </c>
      <c r="M48" s="4" t="s">
        <v>23</v>
      </c>
      <c r="N48" s="4"/>
      <c r="O48" s="4"/>
      <c r="P48" s="4"/>
      <c r="Q48" s="4"/>
      <c r="R48" s="4"/>
      <c r="S48" s="4"/>
      <c r="T48" s="4"/>
      <c r="U48" s="4"/>
      <c r="V48" s="4"/>
      <c r="W48" s="4"/>
      <c r="X48" s="4"/>
      <c r="Y48" s="4"/>
      <c r="Z48" s="4"/>
    </row>
    <row r="49">
      <c r="A49" s="13" t="s">
        <v>150</v>
      </c>
      <c r="B49" s="10" t="s">
        <v>162</v>
      </c>
      <c r="C49" s="13" t="s">
        <v>163</v>
      </c>
      <c r="D49" s="13" t="s">
        <v>164</v>
      </c>
      <c r="E49" s="10" t="str">
        <f t="shared" si="1"/>
        <v>Debt</v>
      </c>
      <c r="F49" s="13" t="s">
        <v>49</v>
      </c>
      <c r="G49" s="10">
        <f t="shared" si="2"/>
        <v>21.8466</v>
      </c>
      <c r="H49" s="14">
        <v>46223.0</v>
      </c>
      <c r="I49" s="10" t="s">
        <v>20</v>
      </c>
      <c r="J49" s="4"/>
      <c r="K49" s="4" t="s">
        <v>22</v>
      </c>
      <c r="L49" s="4" t="s">
        <v>19</v>
      </c>
      <c r="M49" s="4" t="s">
        <v>23</v>
      </c>
      <c r="N49" s="4"/>
      <c r="O49" s="4"/>
      <c r="P49" s="4"/>
      <c r="Q49" s="4"/>
      <c r="R49" s="4"/>
      <c r="S49" s="4"/>
      <c r="T49" s="4"/>
      <c r="U49" s="4"/>
      <c r="V49" s="4"/>
      <c r="W49" s="4"/>
      <c r="X49" s="4"/>
      <c r="Y49" s="4"/>
      <c r="Z49" s="4"/>
    </row>
    <row r="50">
      <c r="A50" s="13" t="s">
        <v>150</v>
      </c>
      <c r="B50" s="10" t="s">
        <v>165</v>
      </c>
      <c r="C50" s="13" t="s">
        <v>166</v>
      </c>
      <c r="D50" s="13" t="s">
        <v>167</v>
      </c>
      <c r="E50" s="10" t="str">
        <f t="shared" si="1"/>
        <v>Equity</v>
      </c>
      <c r="F50" s="13" t="s">
        <v>154</v>
      </c>
      <c r="G50" s="10">
        <f t="shared" si="2"/>
        <v>44.789</v>
      </c>
      <c r="H50" s="14">
        <v>46223.0</v>
      </c>
      <c r="I50" s="10" t="s">
        <v>20</v>
      </c>
      <c r="J50" s="4"/>
      <c r="K50" s="4" t="s">
        <v>22</v>
      </c>
      <c r="L50" s="4" t="s">
        <v>19</v>
      </c>
      <c r="M50" s="4" t="s">
        <v>23</v>
      </c>
      <c r="N50" s="4"/>
      <c r="O50" s="4"/>
      <c r="P50" s="4"/>
      <c r="Q50" s="4"/>
      <c r="R50" s="4"/>
      <c r="S50" s="4"/>
      <c r="T50" s="4"/>
      <c r="U50" s="4"/>
      <c r="V50" s="4"/>
      <c r="W50" s="4"/>
      <c r="X50" s="4"/>
      <c r="Y50" s="4"/>
      <c r="Z50" s="4"/>
    </row>
    <row r="51">
      <c r="A51" s="13" t="s">
        <v>150</v>
      </c>
      <c r="B51" s="10" t="s">
        <v>168</v>
      </c>
      <c r="C51" s="13" t="s">
        <v>169</v>
      </c>
      <c r="D51" s="13" t="s">
        <v>170</v>
      </c>
      <c r="E51" s="10" t="str">
        <f t="shared" si="1"/>
        <v>Equity</v>
      </c>
      <c r="F51" s="13" t="s">
        <v>154</v>
      </c>
      <c r="G51" s="10">
        <f t="shared" si="2"/>
        <v>27.9563</v>
      </c>
      <c r="H51" s="14">
        <v>46223.0</v>
      </c>
      <c r="I51" s="10" t="s">
        <v>20</v>
      </c>
      <c r="J51" s="4"/>
      <c r="K51" s="4" t="s">
        <v>22</v>
      </c>
      <c r="L51" s="4" t="s">
        <v>19</v>
      </c>
      <c r="M51" s="4" t="s">
        <v>23</v>
      </c>
      <c r="N51" s="4"/>
      <c r="O51" s="4"/>
      <c r="P51" s="4"/>
      <c r="Q51" s="4"/>
      <c r="R51" s="4"/>
      <c r="S51" s="4"/>
      <c r="T51" s="4"/>
      <c r="U51" s="4"/>
      <c r="V51" s="4"/>
      <c r="W51" s="4"/>
      <c r="X51" s="4"/>
      <c r="Y51" s="4"/>
      <c r="Z51" s="4"/>
    </row>
    <row r="52">
      <c r="A52" s="13" t="s">
        <v>150</v>
      </c>
      <c r="B52" s="10" t="s">
        <v>36</v>
      </c>
      <c r="C52" s="13" t="s">
        <v>171</v>
      </c>
      <c r="D52" s="13" t="s">
        <v>172</v>
      </c>
      <c r="E52" s="10" t="str">
        <f t="shared" si="1"/>
        <v>Equity</v>
      </c>
      <c r="F52" s="13" t="s">
        <v>154</v>
      </c>
      <c r="G52" s="10">
        <f t="shared" si="2"/>
        <v>81.5324</v>
      </c>
      <c r="H52" s="14">
        <v>46223.0</v>
      </c>
      <c r="I52" s="10" t="s">
        <v>20</v>
      </c>
      <c r="J52" s="4"/>
      <c r="K52" s="4" t="s">
        <v>22</v>
      </c>
      <c r="L52" s="4" t="s">
        <v>19</v>
      </c>
      <c r="M52" s="4" t="s">
        <v>23</v>
      </c>
      <c r="N52" s="4"/>
      <c r="O52" s="4"/>
      <c r="P52" s="4"/>
      <c r="Q52" s="4"/>
      <c r="R52" s="4"/>
      <c r="S52" s="4"/>
      <c r="T52" s="4"/>
      <c r="U52" s="4"/>
      <c r="V52" s="4"/>
      <c r="W52" s="4"/>
      <c r="X52" s="4"/>
      <c r="Y52" s="4"/>
      <c r="Z52" s="4"/>
    </row>
    <row r="53">
      <c r="A53" s="13" t="s">
        <v>150</v>
      </c>
      <c r="B53" s="10" t="s">
        <v>173</v>
      </c>
      <c r="C53" s="13" t="s">
        <v>174</v>
      </c>
      <c r="D53" s="13" t="s">
        <v>175</v>
      </c>
      <c r="E53" s="10" t="str">
        <f t="shared" si="1"/>
        <v>Debt</v>
      </c>
      <c r="F53" s="13" t="s">
        <v>176</v>
      </c>
      <c r="G53" s="10">
        <f t="shared" si="2"/>
        <v>83.7861</v>
      </c>
      <c r="H53" s="14">
        <v>46223.0</v>
      </c>
      <c r="I53" s="10" t="s">
        <v>20</v>
      </c>
      <c r="J53" s="4"/>
      <c r="K53" s="4" t="s">
        <v>22</v>
      </c>
      <c r="L53" s="4" t="s">
        <v>19</v>
      </c>
      <c r="M53" s="4" t="s">
        <v>23</v>
      </c>
      <c r="N53" s="4"/>
      <c r="O53" s="4"/>
      <c r="P53" s="4"/>
      <c r="Q53" s="4"/>
      <c r="R53" s="4"/>
      <c r="S53" s="4"/>
      <c r="T53" s="4"/>
      <c r="U53" s="4"/>
      <c r="V53" s="4"/>
      <c r="W53" s="4"/>
      <c r="X53" s="4"/>
      <c r="Y53" s="4"/>
      <c r="Z53" s="4"/>
    </row>
    <row r="54">
      <c r="A54" s="13" t="s">
        <v>150</v>
      </c>
      <c r="B54" s="10" t="s">
        <v>177</v>
      </c>
      <c r="C54" s="13" t="s">
        <v>178</v>
      </c>
      <c r="D54" s="13" t="s">
        <v>179</v>
      </c>
      <c r="E54" s="10" t="str">
        <f t="shared" si="1"/>
        <v>Debt</v>
      </c>
      <c r="F54" s="13" t="s">
        <v>161</v>
      </c>
      <c r="G54" s="10">
        <f t="shared" si="2"/>
        <v>15.2859</v>
      </c>
      <c r="H54" s="14">
        <v>46223.0</v>
      </c>
      <c r="I54" s="10" t="s">
        <v>20</v>
      </c>
      <c r="J54" s="4"/>
      <c r="K54" s="4" t="s">
        <v>22</v>
      </c>
      <c r="L54" s="4" t="s">
        <v>19</v>
      </c>
      <c r="M54" s="4" t="s">
        <v>23</v>
      </c>
      <c r="N54" s="4"/>
      <c r="O54" s="4"/>
      <c r="P54" s="4"/>
      <c r="Q54" s="4"/>
      <c r="R54" s="4"/>
      <c r="S54" s="4"/>
      <c r="T54" s="4"/>
      <c r="U54" s="4"/>
      <c r="V54" s="4"/>
      <c r="W54" s="4"/>
      <c r="X54" s="4"/>
      <c r="Y54" s="4"/>
      <c r="Z54" s="4"/>
    </row>
    <row r="55">
      <c r="A55" s="13" t="s">
        <v>150</v>
      </c>
      <c r="B55" s="10" t="s">
        <v>180</v>
      </c>
      <c r="C55" s="13" t="s">
        <v>181</v>
      </c>
      <c r="D55" s="13" t="s">
        <v>182</v>
      </c>
      <c r="E55" s="10" t="str">
        <f t="shared" si="1"/>
        <v>Hybrid</v>
      </c>
      <c r="F55" s="13" t="s">
        <v>49</v>
      </c>
      <c r="G55" s="10">
        <f t="shared" si="2"/>
        <v>15.1558</v>
      </c>
      <c r="H55" s="14">
        <v>46223.0</v>
      </c>
      <c r="I55" s="10" t="s">
        <v>20</v>
      </c>
      <c r="J55" s="4"/>
      <c r="K55" s="4" t="s">
        <v>22</v>
      </c>
      <c r="L55" s="4" t="s">
        <v>19</v>
      </c>
      <c r="M55" s="4" t="s">
        <v>23</v>
      </c>
      <c r="N55" s="4"/>
      <c r="O55" s="4"/>
      <c r="P55" s="4"/>
      <c r="Q55" s="4"/>
      <c r="R55" s="4"/>
      <c r="S55" s="4"/>
      <c r="T55" s="4"/>
      <c r="U55" s="4"/>
      <c r="V55" s="4"/>
      <c r="W55" s="4"/>
      <c r="X55" s="4"/>
      <c r="Y55" s="4"/>
      <c r="Z55" s="4"/>
    </row>
    <row r="56">
      <c r="A56" s="13" t="s">
        <v>150</v>
      </c>
      <c r="B56" s="10" t="s">
        <v>66</v>
      </c>
      <c r="C56" s="13" t="s">
        <v>183</v>
      </c>
      <c r="D56" s="13" t="s">
        <v>184</v>
      </c>
      <c r="E56" s="10" t="str">
        <f t="shared" si="1"/>
        <v>Equity</v>
      </c>
      <c r="F56" s="13" t="s">
        <v>154</v>
      </c>
      <c r="G56" s="10">
        <f t="shared" si="2"/>
        <v>14.322</v>
      </c>
      <c r="H56" s="14">
        <v>46223.0</v>
      </c>
      <c r="I56" s="10" t="s">
        <v>20</v>
      </c>
      <c r="J56" s="4"/>
      <c r="K56" s="4" t="s">
        <v>22</v>
      </c>
      <c r="L56" s="4" t="s">
        <v>19</v>
      </c>
      <c r="M56" s="4" t="s">
        <v>23</v>
      </c>
      <c r="N56" s="4"/>
      <c r="O56" s="4"/>
      <c r="P56" s="4"/>
      <c r="Q56" s="4"/>
      <c r="R56" s="4"/>
      <c r="S56" s="4"/>
      <c r="T56" s="4"/>
      <c r="U56" s="4"/>
      <c r="V56" s="4"/>
      <c r="W56" s="4"/>
      <c r="X56" s="4"/>
      <c r="Y56" s="4"/>
      <c r="Z56" s="4"/>
    </row>
    <row r="57">
      <c r="A57" s="13" t="s">
        <v>150</v>
      </c>
      <c r="B57" s="10" t="s">
        <v>185</v>
      </c>
      <c r="C57" s="13" t="s">
        <v>186</v>
      </c>
      <c r="D57" s="13" t="s">
        <v>187</v>
      </c>
      <c r="E57" s="10" t="str">
        <f t="shared" si="1"/>
        <v>Equity</v>
      </c>
      <c r="F57" s="13" t="s">
        <v>154</v>
      </c>
      <c r="G57" s="10">
        <f t="shared" si="2"/>
        <v>15.2513</v>
      </c>
      <c r="H57" s="14">
        <v>46223.0</v>
      </c>
      <c r="I57" s="10" t="s">
        <v>20</v>
      </c>
      <c r="J57" s="4"/>
      <c r="K57" s="4" t="s">
        <v>22</v>
      </c>
      <c r="L57" s="4" t="s">
        <v>19</v>
      </c>
      <c r="M57" s="4" t="s">
        <v>23</v>
      </c>
      <c r="N57" s="4"/>
      <c r="O57" s="4"/>
      <c r="P57" s="4"/>
      <c r="Q57" s="4"/>
      <c r="R57" s="4"/>
      <c r="S57" s="4"/>
      <c r="T57" s="4"/>
      <c r="U57" s="4"/>
      <c r="V57" s="4"/>
      <c r="W57" s="4"/>
      <c r="X57" s="4"/>
      <c r="Y57" s="4"/>
      <c r="Z57" s="4"/>
    </row>
    <row r="58">
      <c r="A58" s="13" t="s">
        <v>150</v>
      </c>
      <c r="B58" s="10" t="s">
        <v>188</v>
      </c>
      <c r="C58" s="13" t="s">
        <v>189</v>
      </c>
      <c r="D58" s="13" t="s">
        <v>190</v>
      </c>
      <c r="E58" s="10" t="str">
        <f t="shared" si="1"/>
        <v>Equity</v>
      </c>
      <c r="F58" s="13" t="s">
        <v>19</v>
      </c>
      <c r="G58" s="10">
        <f t="shared" si="2"/>
        <v>10.9087</v>
      </c>
      <c r="H58" s="14">
        <v>46223.0</v>
      </c>
      <c r="I58" s="10" t="s">
        <v>20</v>
      </c>
      <c r="J58" s="4"/>
      <c r="K58" s="4" t="s">
        <v>22</v>
      </c>
      <c r="L58" s="4" t="s">
        <v>19</v>
      </c>
      <c r="M58" s="4" t="s">
        <v>23</v>
      </c>
      <c r="N58" s="4"/>
      <c r="O58" s="4"/>
      <c r="P58" s="4"/>
      <c r="Q58" s="4"/>
      <c r="R58" s="4"/>
      <c r="S58" s="4"/>
      <c r="T58" s="4"/>
      <c r="U58" s="4"/>
      <c r="V58" s="4"/>
      <c r="W58" s="4"/>
      <c r="X58" s="4"/>
      <c r="Y58" s="4"/>
      <c r="Z58" s="4"/>
    </row>
    <row r="59">
      <c r="A59" s="13" t="s">
        <v>150</v>
      </c>
      <c r="B59" s="10" t="s">
        <v>191</v>
      </c>
      <c r="C59" s="13" t="s">
        <v>192</v>
      </c>
      <c r="D59" s="13" t="s">
        <v>193</v>
      </c>
      <c r="E59" s="10" t="str">
        <f t="shared" si="1"/>
        <v>Equity</v>
      </c>
      <c r="F59" s="13" t="s">
        <v>19</v>
      </c>
      <c r="G59" s="10">
        <f t="shared" si="2"/>
        <v>8.8944</v>
      </c>
      <c r="H59" s="14">
        <v>46223.0</v>
      </c>
      <c r="I59" s="10" t="s">
        <v>20</v>
      </c>
      <c r="J59" s="4"/>
      <c r="K59" s="4" t="s">
        <v>22</v>
      </c>
      <c r="L59" s="4" t="s">
        <v>19</v>
      </c>
      <c r="M59" s="4" t="s">
        <v>23</v>
      </c>
      <c r="N59" s="4"/>
      <c r="O59" s="4"/>
      <c r="P59" s="4"/>
      <c r="Q59" s="4"/>
      <c r="R59" s="4"/>
      <c r="S59" s="4"/>
      <c r="T59" s="4"/>
      <c r="U59" s="4"/>
      <c r="V59" s="4"/>
      <c r="W59" s="4"/>
      <c r="X59" s="4"/>
      <c r="Y59" s="4"/>
      <c r="Z59" s="4"/>
    </row>
    <row r="60">
      <c r="A60" s="13" t="s">
        <v>150</v>
      </c>
      <c r="B60" s="10" t="s">
        <v>194</v>
      </c>
      <c r="C60" s="13" t="s">
        <v>195</v>
      </c>
      <c r="D60" s="13" t="s">
        <v>196</v>
      </c>
      <c r="E60" s="10" t="str">
        <f t="shared" si="1"/>
        <v>Equity</v>
      </c>
      <c r="F60" s="13" t="s">
        <v>19</v>
      </c>
      <c r="G60" s="10">
        <f t="shared" si="2"/>
        <v>8.6696</v>
      </c>
      <c r="H60" s="14">
        <v>46223.0</v>
      </c>
      <c r="I60" s="10" t="s">
        <v>20</v>
      </c>
      <c r="J60" s="4"/>
      <c r="K60" s="4" t="s">
        <v>22</v>
      </c>
      <c r="L60" s="4" t="s">
        <v>19</v>
      </c>
      <c r="M60" s="4" t="s">
        <v>23</v>
      </c>
      <c r="N60" s="4"/>
      <c r="O60" s="4"/>
      <c r="P60" s="4"/>
      <c r="Q60" s="4"/>
      <c r="R60" s="4"/>
      <c r="S60" s="4"/>
      <c r="T60" s="4"/>
      <c r="U60" s="4"/>
      <c r="V60" s="4"/>
      <c r="W60" s="4"/>
      <c r="X60" s="4"/>
      <c r="Y60" s="4"/>
      <c r="Z60" s="4"/>
    </row>
    <row r="61">
      <c r="A61" s="13" t="s">
        <v>150</v>
      </c>
      <c r="B61" s="10" t="s">
        <v>197</v>
      </c>
      <c r="C61" s="13" t="s">
        <v>198</v>
      </c>
      <c r="D61" s="13" t="s">
        <v>199</v>
      </c>
      <c r="E61" s="10" t="str">
        <f t="shared" si="1"/>
        <v>Hybrid</v>
      </c>
      <c r="F61" s="13" t="s">
        <v>49</v>
      </c>
      <c r="G61" s="10">
        <f t="shared" si="2"/>
        <v>10.6345</v>
      </c>
      <c r="H61" s="14">
        <v>46223.0</v>
      </c>
      <c r="I61" s="10" t="s">
        <v>20</v>
      </c>
      <c r="J61" s="4"/>
      <c r="K61" s="4" t="s">
        <v>22</v>
      </c>
      <c r="L61" s="4" t="s">
        <v>19</v>
      </c>
      <c r="M61" s="4" t="s">
        <v>23</v>
      </c>
      <c r="N61" s="4"/>
      <c r="O61" s="4"/>
      <c r="P61" s="4"/>
      <c r="Q61" s="4"/>
      <c r="R61" s="4"/>
      <c r="S61" s="4"/>
      <c r="T61" s="4"/>
      <c r="U61" s="4"/>
      <c r="V61" s="4"/>
      <c r="W61" s="4"/>
      <c r="X61" s="4"/>
      <c r="Y61" s="4"/>
      <c r="Z61" s="4"/>
    </row>
    <row r="62">
      <c r="A62" s="13" t="s">
        <v>150</v>
      </c>
      <c r="B62" s="10" t="s">
        <v>200</v>
      </c>
      <c r="C62" s="13" t="s">
        <v>201</v>
      </c>
      <c r="D62" s="13" t="s">
        <v>202</v>
      </c>
      <c r="E62" s="10" t="str">
        <f t="shared" si="1"/>
        <v>Equity</v>
      </c>
      <c r="F62" s="13" t="s">
        <v>19</v>
      </c>
      <c r="G62" s="10">
        <f t="shared" si="2"/>
        <v>10.1813</v>
      </c>
      <c r="H62" s="14">
        <v>46223.0</v>
      </c>
      <c r="I62" s="10" t="s">
        <v>20</v>
      </c>
      <c r="J62" s="4"/>
      <c r="K62" s="4" t="s">
        <v>22</v>
      </c>
      <c r="L62" s="4" t="s">
        <v>19</v>
      </c>
      <c r="M62" s="4" t="s">
        <v>23</v>
      </c>
      <c r="N62" s="4"/>
      <c r="O62" s="4"/>
      <c r="P62" s="4"/>
      <c r="Q62" s="4"/>
      <c r="R62" s="4"/>
      <c r="S62" s="4"/>
      <c r="T62" s="4"/>
      <c r="U62" s="4"/>
      <c r="V62" s="4"/>
      <c r="W62" s="4"/>
      <c r="X62" s="4"/>
      <c r="Y62" s="4"/>
      <c r="Z62" s="4"/>
    </row>
    <row r="63">
      <c r="A63" s="13" t="s">
        <v>150</v>
      </c>
      <c r="B63" s="10" t="s">
        <v>203</v>
      </c>
      <c r="C63" s="13" t="s">
        <v>204</v>
      </c>
      <c r="D63" s="13" t="s">
        <v>205</v>
      </c>
      <c r="E63" s="10" t="str">
        <f t="shared" si="1"/>
        <v>Equity</v>
      </c>
      <c r="F63" s="13" t="s">
        <v>19</v>
      </c>
      <c r="G63" s="10">
        <f t="shared" si="2"/>
        <v>9.9069</v>
      </c>
      <c r="H63" s="14">
        <v>46223.0</v>
      </c>
      <c r="I63" s="10" t="s">
        <v>20</v>
      </c>
      <c r="J63" s="4"/>
      <c r="K63" s="4" t="s">
        <v>22</v>
      </c>
      <c r="L63" s="4" t="s">
        <v>19</v>
      </c>
      <c r="M63" s="4" t="s">
        <v>23</v>
      </c>
      <c r="N63" s="4"/>
      <c r="O63" s="4"/>
      <c r="P63" s="4"/>
      <c r="Q63" s="4"/>
      <c r="R63" s="4"/>
      <c r="S63" s="4"/>
      <c r="T63" s="4"/>
      <c r="U63" s="4"/>
      <c r="V63" s="4"/>
      <c r="W63" s="4"/>
      <c r="X63" s="4"/>
      <c r="Y63" s="4"/>
      <c r="Z63" s="4"/>
    </row>
    <row r="64">
      <c r="A64" s="13" t="s">
        <v>150</v>
      </c>
      <c r="B64" s="10" t="s">
        <v>206</v>
      </c>
      <c r="C64" s="13" t="s">
        <v>207</v>
      </c>
      <c r="D64" s="13" t="s">
        <v>208</v>
      </c>
      <c r="E64" s="10" t="str">
        <f t="shared" si="1"/>
        <v>Equity</v>
      </c>
      <c r="F64" s="13" t="s">
        <v>19</v>
      </c>
      <c r="G64" s="10">
        <f t="shared" si="2"/>
        <v>9.4837</v>
      </c>
      <c r="H64" s="14">
        <v>46223.0</v>
      </c>
      <c r="I64" s="10" t="s">
        <v>20</v>
      </c>
      <c r="J64" s="4"/>
      <c r="K64" s="4" t="s">
        <v>22</v>
      </c>
      <c r="L64" s="4" t="s">
        <v>19</v>
      </c>
      <c r="M64" s="4" t="s">
        <v>23</v>
      </c>
      <c r="N64" s="4"/>
      <c r="O64" s="4"/>
      <c r="P64" s="4"/>
      <c r="Q64" s="4"/>
      <c r="R64" s="4"/>
      <c r="S64" s="4"/>
      <c r="T64" s="4"/>
      <c r="U64" s="4"/>
      <c r="V64" s="4"/>
      <c r="W64" s="4"/>
      <c r="X64" s="4"/>
      <c r="Y64" s="4"/>
      <c r="Z64" s="4"/>
    </row>
    <row r="65">
      <c r="A65" s="13" t="s">
        <v>150</v>
      </c>
      <c r="B65" s="10" t="s">
        <v>209</v>
      </c>
      <c r="C65" s="13" t="s">
        <v>210</v>
      </c>
      <c r="D65" s="13" t="s">
        <v>211</v>
      </c>
      <c r="E65" s="10" t="str">
        <f t="shared" si="1"/>
        <v>Equity</v>
      </c>
      <c r="F65" s="13" t="s">
        <v>19</v>
      </c>
      <c r="G65" s="10">
        <f t="shared" si="2"/>
        <v>10.7718</v>
      </c>
      <c r="H65" s="14">
        <v>46223.0</v>
      </c>
      <c r="I65" s="10" t="s">
        <v>20</v>
      </c>
      <c r="J65" s="4"/>
      <c r="K65" s="4" t="s">
        <v>22</v>
      </c>
      <c r="L65" s="4" t="s">
        <v>19</v>
      </c>
      <c r="M65" s="4" t="s">
        <v>23</v>
      </c>
      <c r="N65" s="4"/>
      <c r="O65" s="4"/>
      <c r="P65" s="4"/>
      <c r="Q65" s="4"/>
      <c r="R65" s="4"/>
      <c r="S65" s="4"/>
      <c r="T65" s="4"/>
      <c r="U65" s="4"/>
      <c r="V65" s="4"/>
      <c r="W65" s="4"/>
      <c r="X65" s="4"/>
      <c r="Y65" s="4"/>
      <c r="Z65" s="4"/>
    </row>
    <row r="66">
      <c r="A66" s="16" t="s">
        <v>212</v>
      </c>
      <c r="B66" s="16" t="s">
        <v>213</v>
      </c>
      <c r="C66" s="16" t="s">
        <v>214</v>
      </c>
      <c r="D66" s="16" t="s">
        <v>215</v>
      </c>
      <c r="E66" s="17" t="s">
        <v>216</v>
      </c>
      <c r="F66" s="16" t="s">
        <v>19</v>
      </c>
      <c r="G66" s="18">
        <v>21.481</v>
      </c>
      <c r="H66" s="16" t="s">
        <v>217</v>
      </c>
      <c r="I66" s="16" t="s">
        <v>20</v>
      </c>
      <c r="J66" s="19" t="s">
        <v>218</v>
      </c>
      <c r="K66" s="16" t="s">
        <v>22</v>
      </c>
      <c r="L66" s="16" t="s">
        <v>19</v>
      </c>
      <c r="M66" s="16" t="s">
        <v>23</v>
      </c>
      <c r="N66" s="20"/>
      <c r="O66" s="21"/>
      <c r="P66" s="21"/>
      <c r="Q66" s="21"/>
      <c r="R66" s="21"/>
      <c r="S66" s="21"/>
      <c r="T66" s="21"/>
      <c r="U66" s="21"/>
      <c r="V66" s="21"/>
      <c r="W66" s="21"/>
      <c r="X66" s="21"/>
      <c r="Y66" s="21"/>
      <c r="Z66" s="21"/>
    </row>
    <row r="67">
      <c r="A67" s="16" t="s">
        <v>212</v>
      </c>
      <c r="B67" s="16" t="s">
        <v>66</v>
      </c>
      <c r="C67" s="16" t="s">
        <v>219</v>
      </c>
      <c r="D67" s="16" t="s">
        <v>220</v>
      </c>
      <c r="E67" s="17" t="s">
        <v>221</v>
      </c>
      <c r="F67" s="16" t="s">
        <v>19</v>
      </c>
      <c r="G67" s="18">
        <v>15.9426</v>
      </c>
      <c r="H67" s="16" t="s">
        <v>217</v>
      </c>
      <c r="I67" s="16" t="s">
        <v>20</v>
      </c>
      <c r="J67" s="19" t="s">
        <v>218</v>
      </c>
      <c r="K67" s="16" t="s">
        <v>22</v>
      </c>
      <c r="L67" s="16" t="s">
        <v>19</v>
      </c>
      <c r="M67" s="16" t="s">
        <v>23</v>
      </c>
      <c r="N67" s="20"/>
      <c r="O67" s="21"/>
      <c r="P67" s="21"/>
      <c r="Q67" s="21"/>
      <c r="R67" s="21"/>
      <c r="S67" s="21"/>
      <c r="T67" s="21"/>
      <c r="U67" s="21"/>
      <c r="V67" s="21"/>
      <c r="W67" s="21"/>
      <c r="X67" s="21"/>
      <c r="Y67" s="21"/>
      <c r="Z67" s="21"/>
    </row>
    <row r="68">
      <c r="A68" s="16" t="s">
        <v>212</v>
      </c>
      <c r="B68" s="16" t="s">
        <v>197</v>
      </c>
      <c r="C68" s="16" t="s">
        <v>222</v>
      </c>
      <c r="D68" s="16" t="s">
        <v>223</v>
      </c>
      <c r="E68" s="17" t="s">
        <v>224</v>
      </c>
      <c r="F68" s="16" t="s">
        <v>225</v>
      </c>
      <c r="G68" s="18">
        <v>16.3414</v>
      </c>
      <c r="H68" s="16" t="s">
        <v>217</v>
      </c>
      <c r="I68" s="16" t="s">
        <v>20</v>
      </c>
      <c r="J68" s="19" t="s">
        <v>218</v>
      </c>
      <c r="K68" s="16" t="s">
        <v>22</v>
      </c>
      <c r="L68" s="16" t="s">
        <v>19</v>
      </c>
      <c r="M68" s="16" t="s">
        <v>23</v>
      </c>
      <c r="N68" s="20"/>
      <c r="O68" s="21"/>
      <c r="P68" s="21"/>
      <c r="Q68" s="21"/>
      <c r="R68" s="21"/>
      <c r="S68" s="21"/>
      <c r="T68" s="21"/>
      <c r="U68" s="21"/>
      <c r="V68" s="21"/>
      <c r="W68" s="21"/>
      <c r="X68" s="21"/>
      <c r="Y68" s="21"/>
      <c r="Z68" s="21"/>
    </row>
    <row r="69">
      <c r="A69" s="16" t="s">
        <v>212</v>
      </c>
      <c r="B69" s="16" t="s">
        <v>226</v>
      </c>
      <c r="C69" s="16" t="s">
        <v>227</v>
      </c>
      <c r="D69" s="16" t="s">
        <v>228</v>
      </c>
      <c r="E69" s="17" t="s">
        <v>229</v>
      </c>
      <c r="F69" s="16" t="s">
        <v>19</v>
      </c>
      <c r="G69" s="18">
        <v>67.6348</v>
      </c>
      <c r="H69" s="16" t="s">
        <v>217</v>
      </c>
      <c r="I69" s="16" t="s">
        <v>20</v>
      </c>
      <c r="J69" s="19" t="s">
        <v>218</v>
      </c>
      <c r="K69" s="16" t="s">
        <v>22</v>
      </c>
      <c r="L69" s="16" t="s">
        <v>19</v>
      </c>
      <c r="M69" s="16" t="s">
        <v>23</v>
      </c>
      <c r="N69" s="20"/>
      <c r="O69" s="21"/>
      <c r="P69" s="21"/>
      <c r="Q69" s="21"/>
      <c r="R69" s="21"/>
      <c r="S69" s="21"/>
      <c r="T69" s="21"/>
      <c r="U69" s="21"/>
      <c r="V69" s="21"/>
      <c r="W69" s="21"/>
      <c r="X69" s="21"/>
      <c r="Y69" s="21"/>
      <c r="Z69" s="21"/>
    </row>
    <row r="70">
      <c r="A70" s="16" t="s">
        <v>212</v>
      </c>
      <c r="B70" s="16" t="s">
        <v>96</v>
      </c>
      <c r="C70" s="16" t="s">
        <v>230</v>
      </c>
      <c r="D70" s="16" t="s">
        <v>231</v>
      </c>
      <c r="E70" s="17" t="s">
        <v>232</v>
      </c>
      <c r="F70" s="16" t="s">
        <v>19</v>
      </c>
      <c r="G70" s="18">
        <v>66.1012</v>
      </c>
      <c r="H70" s="16" t="s">
        <v>217</v>
      </c>
      <c r="I70" s="16" t="s">
        <v>20</v>
      </c>
      <c r="J70" s="19" t="s">
        <v>218</v>
      </c>
      <c r="K70" s="16" t="s">
        <v>22</v>
      </c>
      <c r="L70" s="16" t="s">
        <v>19</v>
      </c>
      <c r="M70" s="16" t="s">
        <v>23</v>
      </c>
      <c r="N70" s="20"/>
      <c r="O70" s="21"/>
      <c r="P70" s="21"/>
      <c r="Q70" s="21"/>
      <c r="R70" s="21"/>
      <c r="S70" s="21"/>
      <c r="T70" s="21"/>
      <c r="U70" s="21"/>
      <c r="V70" s="21"/>
      <c r="W70" s="21"/>
      <c r="X70" s="21"/>
      <c r="Y70" s="21"/>
      <c r="Z70" s="21"/>
    </row>
    <row r="71">
      <c r="A71" s="16" t="s">
        <v>212</v>
      </c>
      <c r="B71" s="16" t="s">
        <v>233</v>
      </c>
      <c r="C71" s="16" t="s">
        <v>234</v>
      </c>
      <c r="D71" s="16" t="s">
        <v>235</v>
      </c>
      <c r="E71" s="17" t="s">
        <v>236</v>
      </c>
      <c r="F71" s="16" t="s">
        <v>19</v>
      </c>
      <c r="G71" s="18">
        <v>97.8033</v>
      </c>
      <c r="H71" s="16" t="s">
        <v>217</v>
      </c>
      <c r="I71" s="16" t="s">
        <v>20</v>
      </c>
      <c r="J71" s="19" t="s">
        <v>218</v>
      </c>
      <c r="K71" s="16" t="s">
        <v>22</v>
      </c>
      <c r="L71" s="16" t="s">
        <v>19</v>
      </c>
      <c r="M71" s="16" t="s">
        <v>23</v>
      </c>
      <c r="N71" s="20"/>
      <c r="O71" s="21"/>
      <c r="P71" s="21"/>
      <c r="Q71" s="21"/>
      <c r="R71" s="21"/>
      <c r="S71" s="21"/>
      <c r="T71" s="21"/>
      <c r="U71" s="21"/>
      <c r="V71" s="21"/>
      <c r="W71" s="21"/>
      <c r="X71" s="21"/>
      <c r="Y71" s="21"/>
      <c r="Z71" s="21"/>
    </row>
    <row r="72">
      <c r="A72" s="16" t="s">
        <v>212</v>
      </c>
      <c r="B72" s="16" t="s">
        <v>237</v>
      </c>
      <c r="C72" s="16" t="s">
        <v>238</v>
      </c>
      <c r="D72" s="16" t="s">
        <v>239</v>
      </c>
      <c r="E72" s="17" t="s">
        <v>240</v>
      </c>
      <c r="F72" s="16" t="s">
        <v>19</v>
      </c>
      <c r="G72" s="18">
        <v>189.2765</v>
      </c>
      <c r="H72" s="16" t="s">
        <v>217</v>
      </c>
      <c r="I72" s="16" t="s">
        <v>20</v>
      </c>
      <c r="J72" s="19" t="s">
        <v>218</v>
      </c>
      <c r="K72" s="16" t="s">
        <v>22</v>
      </c>
      <c r="L72" s="16" t="s">
        <v>19</v>
      </c>
      <c r="M72" s="16" t="s">
        <v>23</v>
      </c>
      <c r="N72" s="20"/>
      <c r="O72" s="21"/>
      <c r="P72" s="21"/>
      <c r="Q72" s="21"/>
      <c r="R72" s="21"/>
      <c r="S72" s="21"/>
      <c r="T72" s="21"/>
      <c r="U72" s="21"/>
      <c r="V72" s="21"/>
      <c r="W72" s="21"/>
      <c r="X72" s="21"/>
      <c r="Y72" s="21"/>
      <c r="Z72" s="21"/>
    </row>
    <row r="73">
      <c r="A73" s="16" t="s">
        <v>212</v>
      </c>
      <c r="B73" s="16" t="s">
        <v>241</v>
      </c>
      <c r="C73" s="16" t="s">
        <v>242</v>
      </c>
      <c r="D73" s="16" t="s">
        <v>243</v>
      </c>
      <c r="E73" s="17" t="s">
        <v>244</v>
      </c>
      <c r="F73" s="16" t="s">
        <v>19</v>
      </c>
      <c r="G73" s="18">
        <v>81.2502</v>
      </c>
      <c r="H73" s="16" t="s">
        <v>217</v>
      </c>
      <c r="I73" s="16" t="s">
        <v>20</v>
      </c>
      <c r="J73" s="19" t="s">
        <v>218</v>
      </c>
      <c r="K73" s="16" t="s">
        <v>22</v>
      </c>
      <c r="L73" s="16" t="s">
        <v>19</v>
      </c>
      <c r="M73" s="16" t="s">
        <v>23</v>
      </c>
      <c r="N73" s="20"/>
      <c r="O73" s="21"/>
      <c r="P73" s="21"/>
      <c r="Q73" s="21"/>
      <c r="R73" s="21"/>
      <c r="S73" s="21"/>
      <c r="T73" s="21"/>
      <c r="U73" s="21"/>
      <c r="V73" s="21"/>
      <c r="W73" s="21"/>
      <c r="X73" s="21"/>
      <c r="Y73" s="21"/>
      <c r="Z73" s="21"/>
    </row>
    <row r="74">
      <c r="A74" s="16" t="s">
        <v>212</v>
      </c>
      <c r="B74" s="16" t="s">
        <v>245</v>
      </c>
      <c r="C74" s="16" t="s">
        <v>246</v>
      </c>
      <c r="D74" s="16" t="s">
        <v>247</v>
      </c>
      <c r="E74" s="17" t="s">
        <v>248</v>
      </c>
      <c r="F74" s="16" t="s">
        <v>19</v>
      </c>
      <c r="G74" s="18">
        <v>74.2487</v>
      </c>
      <c r="H74" s="16" t="s">
        <v>217</v>
      </c>
      <c r="I74" s="16" t="s">
        <v>20</v>
      </c>
      <c r="J74" s="19" t="s">
        <v>218</v>
      </c>
      <c r="K74" s="16" t="s">
        <v>22</v>
      </c>
      <c r="L74" s="16" t="s">
        <v>19</v>
      </c>
      <c r="M74" s="16" t="s">
        <v>23</v>
      </c>
      <c r="N74" s="20"/>
      <c r="O74" s="21"/>
      <c r="P74" s="21"/>
      <c r="Q74" s="21"/>
      <c r="R74" s="21"/>
      <c r="S74" s="21"/>
      <c r="T74" s="21"/>
      <c r="U74" s="21"/>
      <c r="V74" s="21"/>
      <c r="W74" s="21"/>
      <c r="X74" s="21"/>
      <c r="Y74" s="21"/>
      <c r="Z74" s="21"/>
    </row>
    <row r="75">
      <c r="A75" s="16" t="s">
        <v>212</v>
      </c>
      <c r="B75" s="16" t="s">
        <v>249</v>
      </c>
      <c r="C75" s="16" t="s">
        <v>250</v>
      </c>
      <c r="D75" s="16" t="s">
        <v>251</v>
      </c>
      <c r="E75" s="16" t="s">
        <v>252</v>
      </c>
      <c r="F75" s="16" t="s">
        <v>253</v>
      </c>
      <c r="G75" s="18">
        <v>103.9097</v>
      </c>
      <c r="H75" s="16" t="s">
        <v>217</v>
      </c>
      <c r="I75" s="16" t="s">
        <v>20</v>
      </c>
      <c r="J75" s="19" t="s">
        <v>218</v>
      </c>
      <c r="K75" s="16" t="s">
        <v>22</v>
      </c>
      <c r="L75" s="16" t="s">
        <v>19</v>
      </c>
      <c r="M75" s="16" t="s">
        <v>23</v>
      </c>
      <c r="N75" s="20"/>
      <c r="O75" s="21"/>
      <c r="P75" s="21"/>
      <c r="Q75" s="21"/>
      <c r="R75" s="21"/>
      <c r="S75" s="21"/>
      <c r="T75" s="21"/>
      <c r="U75" s="21"/>
      <c r="V75" s="21"/>
      <c r="W75" s="21"/>
      <c r="X75" s="21"/>
      <c r="Y75" s="21"/>
      <c r="Z75" s="21"/>
    </row>
    <row r="76">
      <c r="A76" s="16" t="s">
        <v>212</v>
      </c>
      <c r="B76" s="16" t="s">
        <v>254</v>
      </c>
      <c r="C76" s="16" t="s">
        <v>255</v>
      </c>
      <c r="D76" s="16" t="s">
        <v>256</v>
      </c>
      <c r="E76" s="16" t="s">
        <v>257</v>
      </c>
      <c r="F76" s="16" t="s">
        <v>258</v>
      </c>
      <c r="G76" s="18">
        <v>67.6512</v>
      </c>
      <c r="H76" s="16" t="s">
        <v>217</v>
      </c>
      <c r="I76" s="16" t="s">
        <v>20</v>
      </c>
      <c r="J76" s="19" t="s">
        <v>218</v>
      </c>
      <c r="K76" s="16" t="s">
        <v>22</v>
      </c>
      <c r="L76" s="16" t="s">
        <v>19</v>
      </c>
      <c r="M76" s="16" t="s">
        <v>23</v>
      </c>
      <c r="N76" s="20"/>
      <c r="O76" s="21"/>
      <c r="P76" s="21"/>
      <c r="Q76" s="21"/>
      <c r="R76" s="21"/>
      <c r="S76" s="21"/>
      <c r="T76" s="21"/>
      <c r="U76" s="21"/>
      <c r="V76" s="21"/>
      <c r="W76" s="21"/>
      <c r="X76" s="21"/>
      <c r="Y76" s="21"/>
      <c r="Z76" s="21"/>
    </row>
    <row r="77">
      <c r="A77" s="16" t="s">
        <v>212</v>
      </c>
      <c r="B77" s="16" t="s">
        <v>259</v>
      </c>
      <c r="C77" s="16" t="s">
        <v>260</v>
      </c>
      <c r="D77" s="16" t="s">
        <v>261</v>
      </c>
      <c r="E77" s="16" t="s">
        <v>56</v>
      </c>
      <c r="F77" s="16" t="s">
        <v>57</v>
      </c>
      <c r="G77" s="18">
        <v>42.3797</v>
      </c>
      <c r="H77" s="16" t="s">
        <v>217</v>
      </c>
      <c r="I77" s="16" t="s">
        <v>20</v>
      </c>
      <c r="J77" s="19" t="s">
        <v>218</v>
      </c>
      <c r="K77" s="16" t="s">
        <v>22</v>
      </c>
      <c r="L77" s="16" t="s">
        <v>19</v>
      </c>
      <c r="M77" s="16" t="s">
        <v>23</v>
      </c>
      <c r="N77" s="20"/>
      <c r="O77" s="21"/>
      <c r="P77" s="21"/>
      <c r="Q77" s="21"/>
      <c r="R77" s="21"/>
      <c r="S77" s="21"/>
      <c r="T77" s="21"/>
      <c r="U77" s="21"/>
      <c r="V77" s="21"/>
      <c r="W77" s="21"/>
      <c r="X77" s="21"/>
      <c r="Y77" s="21"/>
      <c r="Z77" s="21"/>
    </row>
    <row r="78">
      <c r="A78" s="16" t="s">
        <v>212</v>
      </c>
      <c r="B78" s="16" t="s">
        <v>262</v>
      </c>
      <c r="C78" s="16" t="s">
        <v>263</v>
      </c>
      <c r="D78" s="16" t="s">
        <v>264</v>
      </c>
      <c r="E78" s="16" t="s">
        <v>265</v>
      </c>
      <c r="F78" s="16" t="s">
        <v>57</v>
      </c>
      <c r="G78" s="18">
        <v>37.272</v>
      </c>
      <c r="H78" s="16" t="s">
        <v>217</v>
      </c>
      <c r="I78" s="16" t="s">
        <v>20</v>
      </c>
      <c r="J78" s="19" t="s">
        <v>218</v>
      </c>
      <c r="K78" s="16" t="s">
        <v>22</v>
      </c>
      <c r="L78" s="16" t="s">
        <v>19</v>
      </c>
      <c r="M78" s="16" t="s">
        <v>23</v>
      </c>
      <c r="N78" s="20"/>
      <c r="O78" s="21"/>
      <c r="P78" s="21"/>
      <c r="Q78" s="21"/>
      <c r="R78" s="21"/>
      <c r="S78" s="21"/>
      <c r="T78" s="21"/>
      <c r="U78" s="21"/>
      <c r="V78" s="21"/>
      <c r="W78" s="21"/>
      <c r="X78" s="21"/>
      <c r="Y78" s="21"/>
      <c r="Z78" s="21"/>
    </row>
    <row r="79">
      <c r="A79" s="16" t="s">
        <v>212</v>
      </c>
      <c r="B79" s="16" t="s">
        <v>266</v>
      </c>
      <c r="C79" s="16" t="s">
        <v>267</v>
      </c>
      <c r="D79" s="16" t="s">
        <v>268</v>
      </c>
      <c r="E79" s="16" t="s">
        <v>269</v>
      </c>
      <c r="F79" s="16" t="s">
        <v>19</v>
      </c>
      <c r="G79" s="18">
        <v>13.9236</v>
      </c>
      <c r="H79" s="16" t="s">
        <v>217</v>
      </c>
      <c r="I79" s="16" t="s">
        <v>20</v>
      </c>
      <c r="J79" s="19" t="s">
        <v>218</v>
      </c>
      <c r="K79" s="16" t="s">
        <v>22</v>
      </c>
      <c r="L79" s="16" t="s">
        <v>19</v>
      </c>
      <c r="M79" s="16" t="s">
        <v>23</v>
      </c>
      <c r="N79" s="20"/>
      <c r="O79" s="21"/>
      <c r="P79" s="21"/>
      <c r="Q79" s="21"/>
      <c r="R79" s="21"/>
      <c r="S79" s="21"/>
      <c r="T79" s="21"/>
      <c r="U79" s="21"/>
      <c r="V79" s="21"/>
      <c r="W79" s="21"/>
      <c r="X79" s="21"/>
      <c r="Y79" s="21"/>
      <c r="Z79" s="21"/>
    </row>
    <row r="80">
      <c r="A80" s="16" t="s">
        <v>212</v>
      </c>
      <c r="B80" s="16" t="s">
        <v>270</v>
      </c>
      <c r="C80" s="16" t="s">
        <v>271</v>
      </c>
      <c r="D80" s="16" t="s">
        <v>272</v>
      </c>
      <c r="E80" s="16" t="s">
        <v>273</v>
      </c>
      <c r="F80" s="16" t="s">
        <v>19</v>
      </c>
      <c r="G80" s="18">
        <v>21.3636</v>
      </c>
      <c r="H80" s="16" t="s">
        <v>217</v>
      </c>
      <c r="I80" s="16" t="s">
        <v>20</v>
      </c>
      <c r="J80" s="19" t="s">
        <v>218</v>
      </c>
      <c r="K80" s="16" t="s">
        <v>22</v>
      </c>
      <c r="L80" s="16" t="s">
        <v>19</v>
      </c>
      <c r="M80" s="16" t="s">
        <v>23</v>
      </c>
      <c r="N80" s="20"/>
      <c r="O80" s="21"/>
      <c r="P80" s="21"/>
      <c r="Q80" s="21"/>
      <c r="R80" s="21"/>
      <c r="S80" s="21"/>
      <c r="T80" s="21"/>
      <c r="U80" s="21"/>
      <c r="V80" s="21"/>
      <c r="W80" s="21"/>
      <c r="X80" s="21"/>
      <c r="Y80" s="21"/>
      <c r="Z80" s="21"/>
    </row>
    <row r="81">
      <c r="A81" s="16" t="s">
        <v>212</v>
      </c>
      <c r="B81" s="16" t="s">
        <v>274</v>
      </c>
      <c r="C81" s="16" t="s">
        <v>275</v>
      </c>
      <c r="D81" s="16" t="s">
        <v>276</v>
      </c>
      <c r="E81" s="16" t="s">
        <v>277</v>
      </c>
      <c r="F81" s="16" t="s">
        <v>19</v>
      </c>
      <c r="G81" s="18">
        <v>12.6191</v>
      </c>
      <c r="H81" s="16" t="s">
        <v>217</v>
      </c>
      <c r="I81" s="16" t="s">
        <v>20</v>
      </c>
      <c r="J81" s="19" t="s">
        <v>218</v>
      </c>
      <c r="K81" s="16" t="s">
        <v>22</v>
      </c>
      <c r="L81" s="16" t="s">
        <v>19</v>
      </c>
      <c r="M81" s="16" t="s">
        <v>23</v>
      </c>
      <c r="N81" s="20"/>
      <c r="O81" s="21"/>
      <c r="P81" s="21"/>
      <c r="Q81" s="21"/>
      <c r="R81" s="21"/>
      <c r="S81" s="21"/>
      <c r="T81" s="21"/>
      <c r="U81" s="21"/>
      <c r="V81" s="21"/>
      <c r="W81" s="21"/>
      <c r="X81" s="21"/>
      <c r="Y81" s="21"/>
      <c r="Z81" s="21"/>
    </row>
    <row r="82">
      <c r="A82" s="16" t="s">
        <v>212</v>
      </c>
      <c r="B82" s="16" t="s">
        <v>278</v>
      </c>
      <c r="C82" s="16" t="s">
        <v>279</v>
      </c>
      <c r="D82" s="16" t="s">
        <v>280</v>
      </c>
      <c r="E82" s="16" t="s">
        <v>281</v>
      </c>
      <c r="F82" s="16" t="s">
        <v>19</v>
      </c>
      <c r="G82" s="18">
        <v>9.6356</v>
      </c>
      <c r="H82" s="16" t="s">
        <v>217</v>
      </c>
      <c r="I82" s="16" t="s">
        <v>20</v>
      </c>
      <c r="J82" s="19" t="s">
        <v>218</v>
      </c>
      <c r="K82" s="16" t="s">
        <v>22</v>
      </c>
      <c r="L82" s="16" t="s">
        <v>19</v>
      </c>
      <c r="M82" s="16" t="s">
        <v>23</v>
      </c>
      <c r="N82" s="20"/>
      <c r="O82" s="21"/>
      <c r="P82" s="21"/>
      <c r="Q82" s="21"/>
      <c r="R82" s="21"/>
      <c r="S82" s="21"/>
      <c r="T82" s="21"/>
      <c r="U82" s="21"/>
      <c r="V82" s="21"/>
      <c r="W82" s="21"/>
      <c r="X82" s="21"/>
      <c r="Y82" s="21"/>
      <c r="Z82" s="21"/>
    </row>
    <row r="83">
      <c r="A83" s="16" t="s">
        <v>212</v>
      </c>
      <c r="B83" s="16" t="s">
        <v>99</v>
      </c>
      <c r="C83" s="16" t="s">
        <v>282</v>
      </c>
      <c r="D83" s="16" t="s">
        <v>283</v>
      </c>
      <c r="E83" s="16" t="s">
        <v>284</v>
      </c>
      <c r="F83" s="16" t="s">
        <v>19</v>
      </c>
      <c r="G83" s="18">
        <v>8.8999</v>
      </c>
      <c r="H83" s="16" t="s">
        <v>217</v>
      </c>
      <c r="I83" s="16" t="s">
        <v>20</v>
      </c>
      <c r="J83" s="19" t="s">
        <v>218</v>
      </c>
      <c r="K83" s="16" t="s">
        <v>22</v>
      </c>
      <c r="L83" s="16" t="s">
        <v>19</v>
      </c>
      <c r="M83" s="16" t="s">
        <v>23</v>
      </c>
      <c r="N83" s="20"/>
      <c r="O83" s="21"/>
      <c r="P83" s="21"/>
      <c r="Q83" s="21"/>
      <c r="R83" s="21"/>
      <c r="S83" s="21"/>
      <c r="T83" s="21"/>
      <c r="U83" s="21"/>
      <c r="V83" s="21"/>
      <c r="W83" s="21"/>
      <c r="X83" s="21"/>
      <c r="Y83" s="21"/>
      <c r="Z83" s="21"/>
    </row>
    <row r="84">
      <c r="A84" s="16" t="s">
        <v>212</v>
      </c>
      <c r="B84" s="16" t="s">
        <v>285</v>
      </c>
      <c r="C84" s="16" t="s">
        <v>286</v>
      </c>
      <c r="D84" s="16" t="s">
        <v>287</v>
      </c>
      <c r="E84" s="16" t="s">
        <v>288</v>
      </c>
      <c r="F84" s="16" t="s">
        <v>19</v>
      </c>
      <c r="G84" s="18">
        <v>9.0475</v>
      </c>
      <c r="H84" s="16" t="s">
        <v>217</v>
      </c>
      <c r="I84" s="16" t="s">
        <v>20</v>
      </c>
      <c r="J84" s="19" t="s">
        <v>218</v>
      </c>
      <c r="K84" s="16" t="s">
        <v>22</v>
      </c>
      <c r="L84" s="16" t="s">
        <v>19</v>
      </c>
      <c r="M84" s="16" t="s">
        <v>23</v>
      </c>
      <c r="N84" s="20"/>
      <c r="O84" s="21"/>
      <c r="P84" s="21"/>
      <c r="Q84" s="21"/>
      <c r="R84" s="21"/>
      <c r="S84" s="21"/>
      <c r="T84" s="21"/>
      <c r="U84" s="21"/>
      <c r="V84" s="21"/>
      <c r="W84" s="21"/>
      <c r="X84" s="21"/>
      <c r="Y84" s="21"/>
      <c r="Z84" s="21"/>
    </row>
    <row r="85">
      <c r="A85" s="16" t="s">
        <v>212</v>
      </c>
      <c r="B85" s="16" t="s">
        <v>289</v>
      </c>
      <c r="C85" s="16" t="s">
        <v>290</v>
      </c>
      <c r="D85" s="16" t="s">
        <v>291</v>
      </c>
      <c r="E85" s="16" t="s">
        <v>232</v>
      </c>
      <c r="F85" s="16" t="s">
        <v>19</v>
      </c>
      <c r="G85" s="18">
        <v>11.7604</v>
      </c>
      <c r="H85" s="16" t="s">
        <v>217</v>
      </c>
      <c r="I85" s="16" t="s">
        <v>20</v>
      </c>
      <c r="J85" s="19" t="s">
        <v>218</v>
      </c>
      <c r="K85" s="16" t="s">
        <v>22</v>
      </c>
      <c r="L85" s="16" t="s">
        <v>19</v>
      </c>
      <c r="M85" s="16" t="s">
        <v>23</v>
      </c>
      <c r="N85" s="20"/>
      <c r="O85" s="21"/>
      <c r="P85" s="21"/>
      <c r="Q85" s="21"/>
      <c r="R85" s="21"/>
      <c r="S85" s="21"/>
      <c r="T85" s="21"/>
      <c r="U85" s="21"/>
      <c r="V85" s="21"/>
      <c r="W85" s="21"/>
      <c r="X85" s="21"/>
      <c r="Y85" s="21"/>
      <c r="Z85" s="21"/>
    </row>
    <row r="86">
      <c r="A86" s="16" t="s">
        <v>212</v>
      </c>
      <c r="B86" s="16" t="s">
        <v>292</v>
      </c>
      <c r="C86" s="16" t="s">
        <v>293</v>
      </c>
      <c r="D86" s="16" t="s">
        <v>294</v>
      </c>
      <c r="E86" s="16" t="s">
        <v>295</v>
      </c>
      <c r="F86" s="16" t="s">
        <v>19</v>
      </c>
      <c r="G86" s="18">
        <v>10.2848</v>
      </c>
      <c r="H86" s="16" t="s">
        <v>217</v>
      </c>
      <c r="I86" s="16" t="s">
        <v>20</v>
      </c>
      <c r="J86" s="19" t="s">
        <v>218</v>
      </c>
      <c r="K86" s="16" t="s">
        <v>22</v>
      </c>
      <c r="L86" s="16" t="s">
        <v>19</v>
      </c>
      <c r="M86" s="16" t="s">
        <v>23</v>
      </c>
      <c r="N86" s="20"/>
      <c r="O86" s="21"/>
      <c r="P86" s="21"/>
      <c r="Q86" s="21"/>
      <c r="R86" s="21"/>
      <c r="S86" s="21"/>
      <c r="T86" s="21"/>
      <c r="U86" s="21"/>
      <c r="V86" s="21"/>
      <c r="W86" s="21"/>
      <c r="X86" s="21"/>
      <c r="Y86" s="21"/>
      <c r="Z86" s="21"/>
    </row>
    <row r="87">
      <c r="A87" s="16" t="s">
        <v>212</v>
      </c>
      <c r="B87" s="16" t="s">
        <v>105</v>
      </c>
      <c r="C87" s="16" t="s">
        <v>296</v>
      </c>
      <c r="D87" s="16" t="s">
        <v>297</v>
      </c>
      <c r="E87" s="16" t="s">
        <v>298</v>
      </c>
      <c r="F87" s="16" t="s">
        <v>19</v>
      </c>
      <c r="G87" s="18">
        <v>9.6331</v>
      </c>
      <c r="H87" s="16" t="s">
        <v>217</v>
      </c>
      <c r="I87" s="16" t="s">
        <v>20</v>
      </c>
      <c r="J87" s="19" t="s">
        <v>218</v>
      </c>
      <c r="K87" s="16" t="s">
        <v>22</v>
      </c>
      <c r="L87" s="16" t="s">
        <v>19</v>
      </c>
      <c r="M87" s="16" t="s">
        <v>23</v>
      </c>
      <c r="N87" s="20"/>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0"/>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0"/>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row r="1004">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row>
    <row r="1005">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row>
    <row r="1006">
      <c r="A1006" s="21"/>
      <c r="B1006" s="21"/>
      <c r="C1006" s="21"/>
      <c r="D1006" s="21"/>
      <c r="E1006" s="21"/>
      <c r="F1006" s="21"/>
      <c r="G1006" s="21"/>
      <c r="H1006" s="21"/>
      <c r="I1006" s="21"/>
      <c r="J1006" s="21"/>
      <c r="K1006" s="21"/>
      <c r="L1006" s="21"/>
      <c r="M1006" s="21"/>
      <c r="N1006" s="21"/>
      <c r="O1006" s="21"/>
      <c r="P1006" s="21"/>
      <c r="Q1006" s="21"/>
      <c r="R1006" s="21"/>
      <c r="S1006" s="21"/>
      <c r="T1006" s="21"/>
      <c r="U1006" s="21"/>
      <c r="V1006" s="21"/>
      <c r="W1006" s="21"/>
      <c r="X1006" s="21"/>
      <c r="Y1006" s="21"/>
      <c r="Z1006" s="21"/>
    </row>
    <row r="1007">
      <c r="A1007" s="21"/>
      <c r="B1007" s="21"/>
      <c r="C1007" s="21"/>
      <c r="D1007" s="21"/>
      <c r="E1007" s="21"/>
      <c r="F1007" s="21"/>
      <c r="G1007" s="21"/>
      <c r="H1007" s="21"/>
      <c r="I1007" s="21"/>
      <c r="J1007" s="21"/>
      <c r="K1007" s="21"/>
      <c r="L1007" s="21"/>
      <c r="M1007" s="21"/>
      <c r="N1007" s="21"/>
      <c r="O1007" s="21"/>
      <c r="P1007" s="21"/>
      <c r="Q1007" s="21"/>
      <c r="R1007" s="21"/>
      <c r="S1007" s="21"/>
      <c r="T1007" s="21"/>
      <c r="U1007" s="21"/>
      <c r="V1007" s="21"/>
      <c r="W1007" s="21"/>
      <c r="X1007" s="21"/>
      <c r="Y1007" s="21"/>
      <c r="Z1007" s="21"/>
    </row>
    <row r="1008">
      <c r="A1008" s="21"/>
      <c r="B1008" s="21"/>
      <c r="C1008" s="21"/>
      <c r="D1008" s="21"/>
      <c r="E1008" s="21"/>
      <c r="F1008" s="21"/>
      <c r="G1008" s="21"/>
      <c r="H1008" s="21"/>
      <c r="I1008" s="21"/>
      <c r="J1008" s="21"/>
      <c r="K1008" s="21"/>
      <c r="L1008" s="21"/>
      <c r="M1008" s="21"/>
      <c r="N1008" s="21"/>
      <c r="O1008" s="21"/>
      <c r="P1008" s="21"/>
      <c r="Q1008" s="21"/>
      <c r="R1008" s="21"/>
      <c r="S1008" s="21"/>
      <c r="T1008" s="21"/>
      <c r="U1008" s="21"/>
      <c r="V1008" s="21"/>
      <c r="W1008" s="21"/>
      <c r="X1008" s="21"/>
      <c r="Y1008" s="21"/>
      <c r="Z1008" s="21"/>
    </row>
    <row r="1009">
      <c r="A1009" s="21"/>
      <c r="B1009" s="21"/>
      <c r="C1009" s="21"/>
      <c r="D1009" s="21"/>
      <c r="E1009" s="21"/>
      <c r="F1009" s="21"/>
      <c r="G1009" s="21"/>
      <c r="H1009" s="21"/>
      <c r="I1009" s="21"/>
      <c r="J1009" s="21"/>
      <c r="K1009" s="21"/>
      <c r="L1009" s="21"/>
      <c r="M1009" s="21"/>
      <c r="N1009" s="21"/>
      <c r="O1009" s="21"/>
      <c r="P1009" s="21"/>
      <c r="Q1009" s="21"/>
      <c r="R1009" s="21"/>
      <c r="S1009" s="21"/>
      <c r="T1009" s="21"/>
      <c r="U1009" s="21"/>
      <c r="V1009" s="21"/>
      <c r="W1009" s="21"/>
      <c r="X1009" s="21"/>
      <c r="Y1009" s="21"/>
      <c r="Z1009" s="21"/>
    </row>
    <row r="1010">
      <c r="A1010" s="21"/>
      <c r="B1010" s="21"/>
      <c r="C1010" s="21"/>
      <c r="D1010" s="21"/>
      <c r="E1010" s="21"/>
      <c r="F1010" s="21"/>
      <c r="G1010" s="21"/>
      <c r="H1010" s="21"/>
      <c r="I1010" s="21"/>
      <c r="J1010" s="21"/>
      <c r="K1010" s="21"/>
      <c r="L1010" s="21"/>
      <c r="M1010" s="21"/>
      <c r="N1010" s="21"/>
      <c r="O1010" s="21"/>
      <c r="P1010" s="21"/>
      <c r="Q1010" s="21"/>
      <c r="R1010" s="21"/>
      <c r="S1010" s="21"/>
      <c r="T1010" s="21"/>
      <c r="U1010" s="21"/>
      <c r="V1010" s="21"/>
      <c r="W1010" s="21"/>
      <c r="X1010" s="21"/>
      <c r="Y1010" s="21"/>
      <c r="Z1010" s="21"/>
    </row>
    <row r="1011">
      <c r="A1011" s="21"/>
      <c r="B1011" s="21"/>
      <c r="C1011" s="21"/>
      <c r="D1011" s="21"/>
      <c r="E1011" s="21"/>
      <c r="F1011" s="21"/>
      <c r="G1011" s="21"/>
      <c r="H1011" s="21"/>
      <c r="I1011" s="21"/>
      <c r="J1011" s="21"/>
      <c r="K1011" s="21"/>
      <c r="L1011" s="21"/>
      <c r="M1011" s="21"/>
      <c r="N1011" s="21"/>
      <c r="O1011" s="21"/>
      <c r="P1011" s="21"/>
      <c r="Q1011" s="21"/>
      <c r="R1011" s="21"/>
      <c r="S1011" s="21"/>
      <c r="T1011" s="21"/>
      <c r="U1011" s="21"/>
      <c r="V1011" s="21"/>
      <c r="W1011" s="21"/>
      <c r="X1011" s="21"/>
      <c r="Y1011" s="21"/>
      <c r="Z1011" s="21"/>
    </row>
    <row r="1012">
      <c r="A1012" s="21"/>
      <c r="B1012" s="21"/>
      <c r="C1012" s="21"/>
      <c r="D1012" s="21"/>
      <c r="E1012" s="21"/>
      <c r="F1012" s="21"/>
      <c r="G1012" s="21"/>
      <c r="H1012" s="21"/>
      <c r="I1012" s="21"/>
      <c r="J1012" s="21"/>
      <c r="K1012" s="21"/>
      <c r="L1012" s="21"/>
      <c r="M1012" s="21"/>
      <c r="N1012" s="21"/>
      <c r="O1012" s="21"/>
      <c r="P1012" s="21"/>
      <c r="Q1012" s="21"/>
      <c r="R1012" s="21"/>
      <c r="S1012" s="21"/>
      <c r="T1012" s="21"/>
      <c r="U1012" s="21"/>
      <c r="V1012" s="21"/>
      <c r="W1012" s="21"/>
      <c r="X1012" s="21"/>
      <c r="Y1012" s="21"/>
      <c r="Z1012" s="21"/>
    </row>
    <row r="1013">
      <c r="A1013" s="21"/>
      <c r="B1013" s="21"/>
      <c r="C1013" s="21"/>
      <c r="D1013" s="21"/>
      <c r="E1013" s="21"/>
      <c r="F1013" s="21"/>
      <c r="G1013" s="21"/>
      <c r="H1013" s="21"/>
      <c r="I1013" s="21"/>
      <c r="J1013" s="21"/>
      <c r="K1013" s="21"/>
      <c r="L1013" s="21"/>
      <c r="M1013" s="21"/>
      <c r="N1013" s="21"/>
      <c r="O1013" s="21"/>
      <c r="P1013" s="21"/>
      <c r="Q1013" s="21"/>
      <c r="R1013" s="21"/>
      <c r="S1013" s="21"/>
      <c r="T1013" s="21"/>
      <c r="U1013" s="21"/>
      <c r="V1013" s="21"/>
      <c r="W1013" s="21"/>
      <c r="X1013" s="21"/>
      <c r="Y1013" s="21"/>
      <c r="Z1013" s="21"/>
    </row>
    <row r="1014">
      <c r="A1014" s="21"/>
      <c r="B1014" s="21"/>
      <c r="C1014" s="21"/>
      <c r="D1014" s="21"/>
      <c r="E1014" s="21"/>
      <c r="F1014" s="21"/>
      <c r="G1014" s="21"/>
      <c r="H1014" s="21"/>
      <c r="I1014" s="21"/>
      <c r="J1014" s="21"/>
      <c r="K1014" s="21"/>
      <c r="L1014" s="21"/>
      <c r="M1014" s="21"/>
      <c r="N1014" s="21"/>
      <c r="O1014" s="21"/>
      <c r="P1014" s="21"/>
      <c r="Q1014" s="21"/>
      <c r="R1014" s="21"/>
      <c r="S1014" s="21"/>
      <c r="T1014" s="21"/>
      <c r="U1014" s="21"/>
      <c r="V1014" s="21"/>
      <c r="W1014" s="21"/>
      <c r="X1014" s="21"/>
      <c r="Y1014" s="21"/>
      <c r="Z1014" s="21"/>
    </row>
    <row r="1015">
      <c r="A1015" s="21"/>
      <c r="B1015" s="21"/>
      <c r="C1015" s="21"/>
      <c r="D1015" s="21"/>
      <c r="E1015" s="21"/>
      <c r="F1015" s="21"/>
      <c r="G1015" s="21"/>
      <c r="H1015" s="21"/>
      <c r="I1015" s="21"/>
      <c r="J1015" s="21"/>
      <c r="K1015" s="21"/>
      <c r="L1015" s="21"/>
      <c r="M1015" s="21"/>
      <c r="N1015" s="21"/>
      <c r="O1015" s="21"/>
      <c r="P1015" s="21"/>
      <c r="Q1015" s="21"/>
      <c r="R1015" s="21"/>
      <c r="S1015" s="21"/>
      <c r="T1015" s="21"/>
      <c r="U1015" s="21"/>
      <c r="V1015" s="21"/>
      <c r="W1015" s="21"/>
      <c r="X1015" s="21"/>
      <c r="Y1015" s="21"/>
      <c r="Z1015" s="21"/>
    </row>
    <row r="1016">
      <c r="A1016" s="21"/>
      <c r="B1016" s="21"/>
      <c r="C1016" s="21"/>
      <c r="D1016" s="21"/>
      <c r="E1016" s="21"/>
      <c r="F1016" s="21"/>
      <c r="G1016" s="21"/>
      <c r="H1016" s="21"/>
      <c r="I1016" s="21"/>
      <c r="J1016" s="21"/>
      <c r="K1016" s="21"/>
      <c r="L1016" s="21"/>
      <c r="M1016" s="21"/>
      <c r="N1016" s="21"/>
      <c r="O1016" s="21"/>
      <c r="P1016" s="21"/>
      <c r="Q1016" s="21"/>
      <c r="R1016" s="21"/>
      <c r="S1016" s="21"/>
      <c r="T1016" s="21"/>
      <c r="U1016" s="21"/>
      <c r="V1016" s="21"/>
      <c r="W1016" s="21"/>
      <c r="X1016" s="21"/>
      <c r="Y1016" s="21"/>
      <c r="Z1016" s="21"/>
    </row>
    <row r="1017">
      <c r="A1017" s="21"/>
      <c r="B1017" s="21"/>
      <c r="C1017" s="21"/>
      <c r="D1017" s="21"/>
      <c r="E1017" s="21"/>
      <c r="F1017" s="21"/>
      <c r="G1017" s="21"/>
      <c r="H1017" s="21"/>
      <c r="I1017" s="21"/>
      <c r="J1017" s="21"/>
      <c r="K1017" s="21"/>
      <c r="L1017" s="21"/>
      <c r="M1017" s="21"/>
      <c r="N1017" s="21"/>
      <c r="O1017" s="21"/>
      <c r="P1017" s="21"/>
      <c r="Q1017" s="21"/>
      <c r="R1017" s="21"/>
      <c r="S1017" s="21"/>
      <c r="T1017" s="21"/>
      <c r="U1017" s="21"/>
      <c r="V1017" s="21"/>
      <c r="W1017" s="21"/>
      <c r="X1017" s="21"/>
      <c r="Y1017" s="21"/>
      <c r="Z1017" s="21"/>
    </row>
    <row r="1018">
      <c r="A1018" s="21"/>
      <c r="B1018" s="21"/>
      <c r="C1018" s="21"/>
      <c r="D1018" s="21"/>
      <c r="E1018" s="21"/>
      <c r="F1018" s="21"/>
      <c r="G1018" s="21"/>
      <c r="H1018" s="21"/>
      <c r="I1018" s="21"/>
      <c r="J1018" s="21"/>
      <c r="K1018" s="21"/>
      <c r="L1018" s="21"/>
      <c r="M1018" s="21"/>
      <c r="N1018" s="21"/>
      <c r="O1018" s="21"/>
      <c r="P1018" s="21"/>
      <c r="Q1018" s="21"/>
      <c r="R1018" s="21"/>
      <c r="S1018" s="21"/>
      <c r="T1018" s="21"/>
      <c r="U1018" s="21"/>
      <c r="V1018" s="21"/>
      <c r="W1018" s="21"/>
      <c r="X1018" s="21"/>
      <c r="Y1018" s="21"/>
      <c r="Z1018" s="21"/>
    </row>
    <row r="1019">
      <c r="A1019" s="21"/>
      <c r="B1019" s="21"/>
      <c r="C1019" s="21"/>
      <c r="D1019" s="21"/>
      <c r="E1019" s="21"/>
      <c r="F1019" s="21"/>
      <c r="G1019" s="21"/>
      <c r="H1019" s="21"/>
      <c r="I1019" s="21"/>
      <c r="J1019" s="21"/>
      <c r="K1019" s="21"/>
      <c r="L1019" s="21"/>
      <c r="M1019" s="21"/>
      <c r="N1019" s="21"/>
      <c r="O1019" s="21"/>
      <c r="P1019" s="21"/>
      <c r="Q1019" s="21"/>
      <c r="R1019" s="21"/>
      <c r="S1019" s="21"/>
      <c r="T1019" s="21"/>
      <c r="U1019" s="21"/>
      <c r="V1019" s="21"/>
      <c r="W1019" s="21"/>
      <c r="X1019" s="21"/>
      <c r="Y1019" s="21"/>
      <c r="Z1019" s="21"/>
    </row>
    <row r="1020">
      <c r="A1020" s="21"/>
      <c r="B1020" s="21"/>
      <c r="C1020" s="21"/>
      <c r="D1020" s="21"/>
      <c r="E1020" s="21"/>
      <c r="F1020" s="21"/>
      <c r="G1020" s="21"/>
      <c r="H1020" s="21"/>
      <c r="I1020" s="21"/>
      <c r="J1020" s="21"/>
      <c r="K1020" s="21"/>
      <c r="L1020" s="21"/>
      <c r="M1020" s="21"/>
      <c r="N1020" s="21"/>
      <c r="O1020" s="21"/>
      <c r="P1020" s="21"/>
      <c r="Q1020" s="21"/>
      <c r="R1020" s="21"/>
      <c r="S1020" s="21"/>
      <c r="T1020" s="21"/>
      <c r="U1020" s="21"/>
      <c r="V1020" s="21"/>
      <c r="W1020" s="21"/>
      <c r="X1020" s="21"/>
      <c r="Y1020" s="21"/>
      <c r="Z1020" s="21"/>
    </row>
    <row r="1021">
      <c r="A1021" s="21"/>
      <c r="B1021" s="21"/>
      <c r="C1021" s="21"/>
      <c r="D1021" s="21"/>
      <c r="E1021" s="21"/>
      <c r="F1021" s="21"/>
      <c r="G1021" s="21"/>
      <c r="H1021" s="21"/>
      <c r="I1021" s="21"/>
      <c r="J1021" s="21"/>
      <c r="K1021" s="21"/>
      <c r="L1021" s="21"/>
      <c r="M1021" s="21"/>
      <c r="N1021" s="21"/>
      <c r="O1021" s="21"/>
      <c r="P1021" s="21"/>
      <c r="Q1021" s="21"/>
      <c r="R1021" s="21"/>
      <c r="S1021" s="21"/>
      <c r="T1021" s="21"/>
      <c r="U1021" s="21"/>
      <c r="V1021" s="21"/>
      <c r="W1021" s="21"/>
      <c r="X1021" s="21"/>
      <c r="Y1021" s="21"/>
      <c r="Z1021" s="21"/>
    </row>
    <row r="1022">
      <c r="A1022" s="21"/>
      <c r="B1022" s="21"/>
      <c r="C1022" s="21"/>
      <c r="D1022" s="21"/>
      <c r="E1022" s="21"/>
      <c r="F1022" s="21"/>
      <c r="G1022" s="21"/>
      <c r="H1022" s="21"/>
      <c r="I1022" s="21"/>
      <c r="J1022" s="21"/>
      <c r="K1022" s="21"/>
      <c r="L1022" s="21"/>
      <c r="M1022" s="21"/>
      <c r="N1022" s="21"/>
      <c r="O1022" s="21"/>
      <c r="P1022" s="21"/>
      <c r="Q1022" s="21"/>
      <c r="R1022" s="21"/>
      <c r="S1022" s="21"/>
      <c r="T1022" s="21"/>
      <c r="U1022" s="21"/>
      <c r="V1022" s="21"/>
      <c r="W1022" s="21"/>
      <c r="X1022" s="21"/>
      <c r="Y1022" s="21"/>
      <c r="Z1022" s="21"/>
    </row>
    <row r="1023">
      <c r="A1023" s="21"/>
      <c r="B1023" s="21"/>
      <c r="C1023" s="21"/>
      <c r="D1023" s="21"/>
      <c r="E1023" s="21"/>
      <c r="F1023" s="21"/>
      <c r="G1023" s="21"/>
      <c r="H1023" s="21"/>
      <c r="I1023" s="21"/>
      <c r="J1023" s="21"/>
      <c r="K1023" s="21"/>
      <c r="L1023" s="21"/>
      <c r="M1023" s="21"/>
      <c r="N1023" s="21"/>
      <c r="O1023" s="21"/>
      <c r="P1023" s="21"/>
      <c r="Q1023" s="21"/>
      <c r="R1023" s="21"/>
      <c r="S1023" s="21"/>
      <c r="T1023" s="21"/>
      <c r="U1023" s="21"/>
      <c r="V1023" s="21"/>
      <c r="W1023" s="21"/>
      <c r="X1023" s="21"/>
      <c r="Y1023" s="21"/>
      <c r="Z1023" s="21"/>
    </row>
    <row r="1024">
      <c r="A1024" s="21"/>
      <c r="B1024" s="21"/>
      <c r="C1024" s="21"/>
      <c r="D1024" s="21"/>
      <c r="E1024" s="21"/>
      <c r="F1024" s="21"/>
      <c r="G1024" s="21"/>
      <c r="H1024" s="21"/>
      <c r="I1024" s="21"/>
      <c r="J1024" s="21"/>
      <c r="K1024" s="21"/>
      <c r="L1024" s="21"/>
      <c r="M1024" s="21"/>
      <c r="N1024" s="21"/>
      <c r="O1024" s="21"/>
      <c r="P1024" s="21"/>
      <c r="Q1024" s="21"/>
      <c r="R1024" s="21"/>
      <c r="S1024" s="21"/>
      <c r="T1024" s="21"/>
      <c r="U1024" s="21"/>
      <c r="V1024" s="21"/>
      <c r="W1024" s="21"/>
      <c r="X1024" s="21"/>
      <c r="Y1024" s="21"/>
      <c r="Z1024" s="21"/>
    </row>
    <row r="1025">
      <c r="A1025" s="21"/>
      <c r="B1025" s="21"/>
      <c r="C1025" s="21"/>
      <c r="D1025" s="21"/>
      <c r="E1025" s="21"/>
      <c r="F1025" s="21"/>
      <c r="G1025" s="21"/>
      <c r="H1025" s="21"/>
      <c r="I1025" s="21"/>
      <c r="J1025" s="21"/>
      <c r="K1025" s="21"/>
      <c r="L1025" s="21"/>
      <c r="M1025" s="21"/>
      <c r="N1025" s="21"/>
      <c r="O1025" s="21"/>
      <c r="P1025" s="21"/>
      <c r="Q1025" s="21"/>
      <c r="R1025" s="21"/>
      <c r="S1025" s="21"/>
      <c r="T1025" s="21"/>
      <c r="U1025" s="21"/>
      <c r="V1025" s="21"/>
      <c r="W1025" s="21"/>
      <c r="X1025" s="21"/>
      <c r="Y1025" s="21"/>
      <c r="Z1025" s="21"/>
    </row>
    <row r="1026">
      <c r="A1026" s="21"/>
      <c r="B1026" s="21"/>
      <c r="C1026" s="21"/>
      <c r="D1026" s="21"/>
      <c r="E1026" s="21"/>
      <c r="F1026" s="21"/>
      <c r="G1026" s="21"/>
      <c r="H1026" s="21"/>
      <c r="I1026" s="21"/>
      <c r="J1026" s="21"/>
      <c r="K1026" s="21"/>
      <c r="L1026" s="21"/>
      <c r="M1026" s="21"/>
      <c r="N1026" s="21"/>
      <c r="O1026" s="21"/>
      <c r="P1026" s="21"/>
      <c r="Q1026" s="21"/>
      <c r="R1026" s="21"/>
      <c r="S1026" s="21"/>
      <c r="T1026" s="21"/>
      <c r="U1026" s="21"/>
      <c r="V1026" s="21"/>
      <c r="W1026" s="21"/>
      <c r="X1026" s="21"/>
      <c r="Y1026" s="21"/>
      <c r="Z1026" s="21"/>
    </row>
    <row r="1027">
      <c r="A1027" s="21"/>
      <c r="B1027" s="21"/>
      <c r="C1027" s="21"/>
      <c r="D1027" s="21"/>
      <c r="E1027" s="21"/>
      <c r="F1027" s="21"/>
      <c r="G1027" s="21"/>
      <c r="H1027" s="21"/>
      <c r="I1027" s="21"/>
      <c r="J1027" s="21"/>
      <c r="K1027" s="21"/>
      <c r="L1027" s="21"/>
      <c r="M1027" s="21"/>
      <c r="N1027" s="21"/>
      <c r="O1027" s="21"/>
      <c r="P1027" s="21"/>
      <c r="Q1027" s="21"/>
      <c r="R1027" s="21"/>
      <c r="S1027" s="21"/>
      <c r="T1027" s="21"/>
      <c r="U1027" s="21"/>
      <c r="V1027" s="21"/>
      <c r="W1027" s="21"/>
      <c r="X1027" s="21"/>
      <c r="Y1027" s="21"/>
      <c r="Z1027" s="21"/>
    </row>
    <row r="1028">
      <c r="A1028" s="21"/>
      <c r="B1028" s="21"/>
      <c r="C1028" s="21"/>
      <c r="D1028" s="21"/>
      <c r="E1028" s="21"/>
      <c r="F1028" s="21"/>
      <c r="G1028" s="21"/>
      <c r="H1028" s="21"/>
      <c r="I1028" s="21"/>
      <c r="J1028" s="21"/>
      <c r="K1028" s="21"/>
      <c r="L1028" s="21"/>
      <c r="M1028" s="21"/>
      <c r="N1028" s="21"/>
      <c r="O1028" s="21"/>
      <c r="P1028" s="21"/>
      <c r="Q1028" s="21"/>
      <c r="R1028" s="21"/>
      <c r="S1028" s="21"/>
      <c r="T1028" s="21"/>
      <c r="U1028" s="21"/>
      <c r="V1028" s="21"/>
      <c r="W1028" s="21"/>
      <c r="X1028" s="21"/>
      <c r="Y1028" s="21"/>
      <c r="Z1028" s="21"/>
    </row>
    <row r="1029">
      <c r="A1029" s="21"/>
      <c r="B1029" s="21"/>
      <c r="C1029" s="21"/>
      <c r="D1029" s="21"/>
      <c r="E1029" s="21"/>
      <c r="F1029" s="21"/>
      <c r="G1029" s="21"/>
      <c r="H1029" s="21"/>
      <c r="I1029" s="21"/>
      <c r="J1029" s="21"/>
      <c r="K1029" s="21"/>
      <c r="L1029" s="21"/>
      <c r="M1029" s="21"/>
      <c r="N1029" s="21"/>
      <c r="O1029" s="21"/>
      <c r="P1029" s="21"/>
      <c r="Q1029" s="21"/>
      <c r="R1029" s="21"/>
      <c r="S1029" s="21"/>
      <c r="T1029" s="21"/>
      <c r="U1029" s="21"/>
      <c r="V1029" s="21"/>
      <c r="W1029" s="21"/>
      <c r="X1029" s="21"/>
      <c r="Y1029" s="21"/>
      <c r="Z1029" s="21"/>
    </row>
    <row r="1030">
      <c r="A1030" s="21"/>
      <c r="B1030" s="21"/>
      <c r="C1030" s="21"/>
      <c r="D1030" s="21"/>
      <c r="E1030" s="21"/>
      <c r="F1030" s="21"/>
      <c r="G1030" s="21"/>
      <c r="H1030" s="21"/>
      <c r="I1030" s="21"/>
      <c r="J1030" s="21"/>
      <c r="K1030" s="21"/>
      <c r="L1030" s="21"/>
      <c r="M1030" s="21"/>
      <c r="N1030" s="21"/>
      <c r="O1030" s="21"/>
      <c r="P1030" s="21"/>
      <c r="Q1030" s="21"/>
      <c r="R1030" s="21"/>
      <c r="S1030" s="21"/>
      <c r="T1030" s="21"/>
      <c r="U1030" s="21"/>
      <c r="V1030" s="21"/>
      <c r="W1030" s="21"/>
      <c r="X1030" s="21"/>
      <c r="Y1030" s="21"/>
      <c r="Z1030" s="21"/>
    </row>
    <row r="1031">
      <c r="A1031" s="21"/>
      <c r="B1031" s="21"/>
      <c r="C1031" s="21"/>
      <c r="D1031" s="21"/>
      <c r="E1031" s="21"/>
      <c r="F1031" s="21"/>
      <c r="G1031" s="21"/>
      <c r="H1031" s="21"/>
      <c r="I1031" s="21"/>
      <c r="J1031" s="21"/>
      <c r="K1031" s="21"/>
      <c r="L1031" s="21"/>
      <c r="M1031" s="21"/>
      <c r="N1031" s="21"/>
      <c r="O1031" s="21"/>
      <c r="P1031" s="21"/>
      <c r="Q1031" s="21"/>
      <c r="R1031" s="21"/>
      <c r="S1031" s="21"/>
      <c r="T1031" s="21"/>
      <c r="U1031" s="21"/>
      <c r="V1031" s="21"/>
      <c r="W1031" s="21"/>
      <c r="X1031" s="21"/>
      <c r="Y1031" s="21"/>
      <c r="Z1031" s="21"/>
    </row>
    <row r="1032">
      <c r="A1032" s="21"/>
      <c r="B1032" s="21"/>
      <c r="C1032" s="21"/>
      <c r="D1032" s="21"/>
      <c r="E1032" s="21"/>
      <c r="F1032" s="21"/>
      <c r="G1032" s="21"/>
      <c r="H1032" s="21"/>
      <c r="I1032" s="21"/>
      <c r="J1032" s="21"/>
      <c r="K1032" s="21"/>
      <c r="L1032" s="21"/>
      <c r="M1032" s="21"/>
      <c r="N1032" s="21"/>
      <c r="O1032" s="21"/>
      <c r="P1032" s="21"/>
      <c r="Q1032" s="21"/>
      <c r="R1032" s="21"/>
      <c r="S1032" s="21"/>
      <c r="T1032" s="21"/>
      <c r="U1032" s="21"/>
      <c r="V1032" s="21"/>
      <c r="W1032" s="21"/>
      <c r="X1032" s="21"/>
      <c r="Y1032" s="21"/>
      <c r="Z1032" s="21"/>
    </row>
    <row r="1033">
      <c r="A1033" s="21"/>
      <c r="B1033" s="21"/>
      <c r="C1033" s="21"/>
      <c r="D1033" s="21"/>
      <c r="E1033" s="21"/>
      <c r="F1033" s="21"/>
      <c r="G1033" s="21"/>
      <c r="H1033" s="21"/>
      <c r="I1033" s="21"/>
      <c r="J1033" s="21"/>
      <c r="K1033" s="21"/>
      <c r="L1033" s="21"/>
      <c r="M1033" s="21"/>
      <c r="N1033" s="21"/>
      <c r="O1033" s="21"/>
      <c r="P1033" s="21"/>
      <c r="Q1033" s="21"/>
      <c r="R1033" s="21"/>
      <c r="S1033" s="21"/>
      <c r="T1033" s="21"/>
      <c r="U1033" s="21"/>
      <c r="V1033" s="21"/>
      <c r="W1033" s="21"/>
      <c r="X1033" s="21"/>
      <c r="Y1033" s="21"/>
      <c r="Z1033" s="21"/>
    </row>
    <row r="1034">
      <c r="A1034" s="21"/>
      <c r="B1034" s="21"/>
      <c r="C1034" s="21"/>
      <c r="D1034" s="21"/>
      <c r="E1034" s="21"/>
      <c r="F1034" s="21"/>
      <c r="G1034" s="21"/>
      <c r="H1034" s="21"/>
      <c r="I1034" s="21"/>
      <c r="J1034" s="21"/>
      <c r="K1034" s="21"/>
      <c r="L1034" s="21"/>
      <c r="M1034" s="21"/>
      <c r="N1034" s="21"/>
      <c r="O1034" s="21"/>
      <c r="P1034" s="21"/>
      <c r="Q1034" s="21"/>
      <c r="R1034" s="21"/>
      <c r="S1034" s="21"/>
      <c r="T1034" s="21"/>
      <c r="U1034" s="21"/>
      <c r="V1034" s="21"/>
      <c r="W1034" s="21"/>
      <c r="X1034" s="21"/>
      <c r="Y1034" s="21"/>
      <c r="Z1034" s="21"/>
    </row>
    <row r="1035">
      <c r="A1035" s="21"/>
      <c r="B1035" s="21"/>
      <c r="C1035" s="21"/>
      <c r="D1035" s="21"/>
      <c r="E1035" s="21"/>
      <c r="F1035" s="21"/>
      <c r="G1035" s="21"/>
      <c r="H1035" s="21"/>
      <c r="I1035" s="21"/>
      <c r="J1035" s="21"/>
      <c r="K1035" s="21"/>
      <c r="L1035" s="21"/>
      <c r="M1035" s="21"/>
      <c r="N1035" s="21"/>
      <c r="O1035" s="21"/>
      <c r="P1035" s="21"/>
      <c r="Q1035" s="21"/>
      <c r="R1035" s="21"/>
      <c r="S1035" s="21"/>
      <c r="T1035" s="21"/>
      <c r="U1035" s="21"/>
      <c r="V1035" s="21"/>
      <c r="W1035" s="21"/>
      <c r="X1035" s="21"/>
      <c r="Y1035" s="21"/>
      <c r="Z1035" s="21"/>
    </row>
    <row r="1036">
      <c r="A1036" s="21"/>
      <c r="B1036" s="21"/>
      <c r="C1036" s="21"/>
      <c r="D1036" s="21"/>
      <c r="E1036" s="21"/>
      <c r="F1036" s="21"/>
      <c r="G1036" s="21"/>
      <c r="H1036" s="21"/>
      <c r="I1036" s="21"/>
      <c r="J1036" s="21"/>
      <c r="K1036" s="21"/>
      <c r="L1036" s="21"/>
      <c r="M1036" s="21"/>
      <c r="N1036" s="21"/>
      <c r="O1036" s="21"/>
      <c r="P1036" s="21"/>
      <c r="Q1036" s="21"/>
      <c r="R1036" s="21"/>
      <c r="S1036" s="21"/>
      <c r="T1036" s="21"/>
      <c r="U1036" s="21"/>
      <c r="V1036" s="21"/>
      <c r="W1036" s="21"/>
      <c r="X1036" s="21"/>
      <c r="Y1036" s="21"/>
      <c r="Z1036" s="21"/>
    </row>
    <row r="1037">
      <c r="A1037" s="21"/>
      <c r="B1037" s="21"/>
      <c r="C1037" s="21"/>
      <c r="D1037" s="21"/>
      <c r="E1037" s="21"/>
      <c r="F1037" s="21"/>
      <c r="G1037" s="21"/>
      <c r="H1037" s="21"/>
      <c r="I1037" s="21"/>
      <c r="J1037" s="21"/>
      <c r="K1037" s="21"/>
      <c r="L1037" s="21"/>
      <c r="M1037" s="21"/>
      <c r="N1037" s="21"/>
      <c r="O1037" s="21"/>
      <c r="P1037" s="21"/>
      <c r="Q1037" s="21"/>
      <c r="R1037" s="21"/>
      <c r="S1037" s="21"/>
      <c r="T1037" s="21"/>
      <c r="U1037" s="21"/>
      <c r="V1037" s="21"/>
      <c r="W1037" s="21"/>
      <c r="X1037" s="21"/>
      <c r="Y1037" s="21"/>
      <c r="Z1037" s="21"/>
    </row>
    <row r="1038">
      <c r="A1038" s="21"/>
      <c r="B1038" s="21"/>
      <c r="C1038" s="21"/>
      <c r="D1038" s="21"/>
      <c r="E1038" s="21"/>
      <c r="F1038" s="21"/>
      <c r="G1038" s="21"/>
      <c r="H1038" s="21"/>
      <c r="I1038" s="21"/>
      <c r="J1038" s="21"/>
      <c r="K1038" s="21"/>
      <c r="L1038" s="21"/>
      <c r="M1038" s="21"/>
      <c r="N1038" s="21"/>
      <c r="O1038" s="21"/>
      <c r="P1038" s="21"/>
      <c r="Q1038" s="21"/>
      <c r="R1038" s="21"/>
      <c r="S1038" s="21"/>
      <c r="T1038" s="21"/>
      <c r="U1038" s="21"/>
      <c r="V1038" s="21"/>
      <c r="W1038" s="21"/>
      <c r="X1038" s="21"/>
      <c r="Y1038" s="21"/>
      <c r="Z1038" s="21"/>
    </row>
    <row r="1039">
      <c r="A1039" s="21"/>
      <c r="B1039" s="21"/>
      <c r="C1039" s="21"/>
      <c r="D1039" s="21"/>
      <c r="E1039" s="21"/>
      <c r="F1039" s="21"/>
      <c r="G1039" s="21"/>
      <c r="H1039" s="21"/>
      <c r="I1039" s="21"/>
      <c r="J1039" s="21"/>
      <c r="K1039" s="21"/>
      <c r="L1039" s="21"/>
      <c r="M1039" s="21"/>
      <c r="N1039" s="21"/>
      <c r="O1039" s="21"/>
      <c r="P1039" s="21"/>
      <c r="Q1039" s="21"/>
      <c r="R1039" s="21"/>
      <c r="S1039" s="21"/>
      <c r="T1039" s="21"/>
      <c r="U1039" s="21"/>
      <c r="V1039" s="21"/>
      <c r="W1039" s="21"/>
      <c r="X1039" s="21"/>
      <c r="Y1039" s="21"/>
      <c r="Z1039" s="21"/>
    </row>
    <row r="1040">
      <c r="A1040" s="21"/>
      <c r="B1040" s="21"/>
      <c r="C1040" s="21"/>
      <c r="D1040" s="21"/>
      <c r="E1040" s="21"/>
      <c r="F1040" s="21"/>
      <c r="G1040" s="21"/>
      <c r="H1040" s="21"/>
      <c r="I1040" s="21"/>
      <c r="J1040" s="21"/>
      <c r="K1040" s="21"/>
      <c r="L1040" s="21"/>
      <c r="M1040" s="21"/>
      <c r="N1040" s="21"/>
      <c r="O1040" s="21"/>
      <c r="P1040" s="21"/>
      <c r="Q1040" s="21"/>
      <c r="R1040" s="21"/>
      <c r="S1040" s="21"/>
      <c r="T1040" s="21"/>
      <c r="U1040" s="21"/>
      <c r="V1040" s="21"/>
      <c r="W1040" s="21"/>
      <c r="X1040" s="21"/>
      <c r="Y1040" s="21"/>
      <c r="Z1040" s="21"/>
    </row>
    <row r="1041">
      <c r="A1041" s="21"/>
      <c r="B1041" s="21"/>
      <c r="C1041" s="21"/>
      <c r="D1041" s="21"/>
      <c r="E1041" s="21"/>
      <c r="F1041" s="21"/>
      <c r="G1041" s="21"/>
      <c r="H1041" s="21"/>
      <c r="I1041" s="21"/>
      <c r="J1041" s="21"/>
      <c r="K1041" s="21"/>
      <c r="L1041" s="21"/>
      <c r="M1041" s="21"/>
      <c r="N1041" s="21"/>
      <c r="O1041" s="21"/>
      <c r="P1041" s="21"/>
      <c r="Q1041" s="21"/>
      <c r="R1041" s="21"/>
      <c r="S1041" s="21"/>
      <c r="T1041" s="21"/>
      <c r="U1041" s="21"/>
      <c r="V1041" s="21"/>
      <c r="W1041" s="21"/>
      <c r="X1041" s="21"/>
      <c r="Y1041" s="21"/>
      <c r="Z1041" s="21"/>
    </row>
    <row r="1042">
      <c r="A1042" s="21"/>
      <c r="B1042" s="21"/>
      <c r="C1042" s="21"/>
      <c r="D1042" s="21"/>
      <c r="E1042" s="21"/>
      <c r="F1042" s="21"/>
      <c r="G1042" s="21"/>
      <c r="H1042" s="21"/>
      <c r="I1042" s="21"/>
      <c r="J1042" s="21"/>
      <c r="K1042" s="21"/>
      <c r="L1042" s="21"/>
      <c r="M1042" s="21"/>
      <c r="N1042" s="21"/>
      <c r="O1042" s="21"/>
      <c r="P1042" s="21"/>
      <c r="Q1042" s="21"/>
      <c r="R1042" s="21"/>
      <c r="S1042" s="21"/>
      <c r="T1042" s="21"/>
      <c r="U1042" s="21"/>
      <c r="V1042" s="21"/>
      <c r="W1042" s="21"/>
      <c r="X1042" s="21"/>
      <c r="Y1042" s="21"/>
      <c r="Z1042" s="21"/>
    </row>
    <row r="1043">
      <c r="A1043" s="21"/>
      <c r="B1043" s="21"/>
      <c r="C1043" s="21"/>
      <c r="D1043" s="21"/>
      <c r="E1043" s="21"/>
      <c r="F1043" s="21"/>
      <c r="G1043" s="21"/>
      <c r="H1043" s="21"/>
      <c r="I1043" s="21"/>
      <c r="J1043" s="21"/>
      <c r="K1043" s="21"/>
      <c r="L1043" s="21"/>
      <c r="M1043" s="21"/>
      <c r="N1043" s="21"/>
      <c r="O1043" s="21"/>
      <c r="P1043" s="21"/>
      <c r="Q1043" s="21"/>
      <c r="R1043" s="21"/>
      <c r="S1043" s="21"/>
      <c r="T1043" s="21"/>
      <c r="U1043" s="21"/>
      <c r="V1043" s="21"/>
      <c r="W1043" s="21"/>
      <c r="X1043" s="21"/>
      <c r="Y1043" s="21"/>
      <c r="Z1043" s="21"/>
    </row>
    <row r="1044">
      <c r="A1044" s="21"/>
      <c r="B1044" s="21"/>
      <c r="C1044" s="21"/>
      <c r="D1044" s="21"/>
      <c r="E1044" s="21"/>
      <c r="F1044" s="21"/>
      <c r="G1044" s="21"/>
      <c r="H1044" s="21"/>
      <c r="I1044" s="21"/>
      <c r="J1044" s="21"/>
      <c r="K1044" s="21"/>
      <c r="L1044" s="21"/>
      <c r="M1044" s="21"/>
      <c r="N1044" s="21"/>
      <c r="O1044" s="21"/>
      <c r="P1044" s="21"/>
      <c r="Q1044" s="21"/>
      <c r="R1044" s="21"/>
      <c r="S1044" s="21"/>
      <c r="T1044" s="21"/>
      <c r="U1044" s="21"/>
      <c r="V1044" s="21"/>
      <c r="W1044" s="21"/>
      <c r="X1044" s="21"/>
      <c r="Y1044" s="21"/>
      <c r="Z1044" s="21"/>
    </row>
    <row r="1045">
      <c r="A1045" s="21"/>
      <c r="B1045" s="21"/>
      <c r="C1045" s="21"/>
      <c r="D1045" s="21"/>
      <c r="E1045" s="21"/>
      <c r="F1045" s="21"/>
      <c r="G1045" s="21"/>
      <c r="H1045" s="21"/>
      <c r="I1045" s="21"/>
      <c r="J1045" s="21"/>
      <c r="K1045" s="21"/>
      <c r="L1045" s="21"/>
      <c r="M1045" s="21"/>
      <c r="N1045" s="21"/>
      <c r="O1045" s="21"/>
      <c r="P1045" s="21"/>
      <c r="Q1045" s="21"/>
      <c r="R1045" s="21"/>
      <c r="S1045" s="21"/>
      <c r="T1045" s="21"/>
      <c r="U1045" s="21"/>
      <c r="V1045" s="21"/>
      <c r="W1045" s="21"/>
      <c r="X1045" s="21"/>
      <c r="Y1045" s="21"/>
      <c r="Z1045" s="21"/>
    </row>
    <row r="1046">
      <c r="A1046" s="21"/>
      <c r="B1046" s="21"/>
      <c r="C1046" s="21"/>
      <c r="D1046" s="21"/>
      <c r="E1046" s="21"/>
      <c r="F1046" s="21"/>
      <c r="G1046" s="21"/>
      <c r="H1046" s="21"/>
      <c r="I1046" s="21"/>
      <c r="J1046" s="21"/>
      <c r="K1046" s="21"/>
      <c r="L1046" s="21"/>
      <c r="M1046" s="21"/>
      <c r="N1046" s="21"/>
      <c r="O1046" s="21"/>
      <c r="P1046" s="21"/>
      <c r="Q1046" s="21"/>
      <c r="R1046" s="21"/>
      <c r="S1046" s="21"/>
      <c r="T1046" s="21"/>
      <c r="U1046" s="21"/>
      <c r="V1046" s="21"/>
      <c r="W1046" s="21"/>
      <c r="X1046" s="21"/>
      <c r="Y1046" s="21"/>
      <c r="Z1046" s="21"/>
    </row>
    <row r="1047">
      <c r="A1047" s="21"/>
      <c r="B1047" s="21"/>
      <c r="C1047" s="21"/>
      <c r="D1047" s="21"/>
      <c r="E1047" s="21"/>
      <c r="F1047" s="21"/>
      <c r="G1047" s="21"/>
      <c r="H1047" s="21"/>
      <c r="I1047" s="21"/>
      <c r="J1047" s="21"/>
      <c r="K1047" s="21"/>
      <c r="L1047" s="21"/>
      <c r="M1047" s="21"/>
      <c r="N1047" s="21"/>
      <c r="O1047" s="21"/>
      <c r="P1047" s="21"/>
      <c r="Q1047" s="21"/>
      <c r="R1047" s="21"/>
      <c r="S1047" s="21"/>
      <c r="T1047" s="21"/>
      <c r="U1047" s="21"/>
      <c r="V1047" s="21"/>
      <c r="W1047" s="21"/>
      <c r="X1047" s="21"/>
      <c r="Y1047" s="21"/>
      <c r="Z1047" s="21"/>
    </row>
    <row r="1048">
      <c r="A1048" s="21"/>
      <c r="B1048" s="21"/>
      <c r="C1048" s="21"/>
      <c r="D1048" s="21"/>
      <c r="E1048" s="21"/>
      <c r="F1048" s="21"/>
      <c r="G1048" s="21"/>
      <c r="H1048" s="21"/>
      <c r="I1048" s="21"/>
      <c r="J1048" s="21"/>
      <c r="K1048" s="21"/>
      <c r="L1048" s="21"/>
      <c r="M1048" s="21"/>
      <c r="N1048" s="21"/>
      <c r="O1048" s="21"/>
      <c r="P1048" s="21"/>
      <c r="Q1048" s="21"/>
      <c r="R1048" s="21"/>
      <c r="S1048" s="21"/>
      <c r="T1048" s="21"/>
      <c r="U1048" s="21"/>
      <c r="V1048" s="21"/>
      <c r="W1048" s="21"/>
      <c r="X1048" s="21"/>
      <c r="Y1048" s="21"/>
      <c r="Z1048" s="21"/>
    </row>
    <row r="1049">
      <c r="A1049" s="21"/>
      <c r="B1049" s="21"/>
      <c r="C1049" s="21"/>
      <c r="D1049" s="21"/>
      <c r="E1049" s="21"/>
      <c r="F1049" s="21"/>
      <c r="G1049" s="21"/>
      <c r="H1049" s="21"/>
      <c r="I1049" s="21"/>
      <c r="J1049" s="21"/>
      <c r="K1049" s="21"/>
      <c r="L1049" s="21"/>
      <c r="M1049" s="21"/>
      <c r="N1049" s="21"/>
      <c r="O1049" s="21"/>
      <c r="P1049" s="21"/>
      <c r="Q1049" s="21"/>
      <c r="R1049" s="21"/>
      <c r="S1049" s="21"/>
      <c r="T1049" s="21"/>
      <c r="U1049" s="21"/>
      <c r="V1049" s="21"/>
      <c r="W1049" s="21"/>
      <c r="X1049" s="21"/>
      <c r="Y1049" s="21"/>
      <c r="Z1049" s="21"/>
    </row>
    <row r="1050">
      <c r="A1050" s="21"/>
      <c r="B1050" s="21"/>
      <c r="C1050" s="21"/>
      <c r="D1050" s="21"/>
      <c r="E1050" s="21"/>
      <c r="F1050" s="21"/>
      <c r="G1050" s="21"/>
      <c r="H1050" s="21"/>
      <c r="I1050" s="21"/>
      <c r="J1050" s="21"/>
      <c r="K1050" s="21"/>
      <c r="L1050" s="21"/>
      <c r="M1050" s="21"/>
      <c r="N1050" s="21"/>
      <c r="O1050" s="21"/>
      <c r="P1050" s="21"/>
      <c r="Q1050" s="21"/>
      <c r="R1050" s="21"/>
      <c r="S1050" s="21"/>
      <c r="T1050" s="21"/>
      <c r="U1050" s="21"/>
      <c r="V1050" s="21"/>
      <c r="W1050" s="21"/>
      <c r="X1050" s="21"/>
      <c r="Y1050" s="21"/>
      <c r="Z1050" s="21"/>
    </row>
    <row r="1051">
      <c r="A1051" s="21"/>
      <c r="B1051" s="21"/>
      <c r="C1051" s="21"/>
      <c r="D1051" s="21"/>
      <c r="E1051" s="21"/>
      <c r="F1051" s="21"/>
      <c r="G1051" s="21"/>
      <c r="H1051" s="21"/>
      <c r="I1051" s="21"/>
      <c r="J1051" s="21"/>
      <c r="K1051" s="21"/>
      <c r="L1051" s="21"/>
      <c r="M1051" s="21"/>
      <c r="N1051" s="21"/>
      <c r="O1051" s="21"/>
      <c r="P1051" s="21"/>
      <c r="Q1051" s="21"/>
      <c r="R1051" s="21"/>
      <c r="S1051" s="21"/>
      <c r="T1051" s="21"/>
      <c r="U1051" s="21"/>
      <c r="V1051" s="21"/>
      <c r="W1051" s="21"/>
      <c r="X1051" s="21"/>
      <c r="Y1051" s="21"/>
      <c r="Z1051" s="21"/>
    </row>
    <row r="1052">
      <c r="A1052" s="21"/>
      <c r="B1052" s="21"/>
      <c r="C1052" s="21"/>
      <c r="D1052" s="21"/>
      <c r="E1052" s="21"/>
      <c r="F1052" s="21"/>
      <c r="G1052" s="21"/>
      <c r="H1052" s="21"/>
      <c r="I1052" s="21"/>
      <c r="J1052" s="21"/>
      <c r="K1052" s="21"/>
      <c r="L1052" s="21"/>
      <c r="M1052" s="21"/>
      <c r="N1052" s="21"/>
      <c r="O1052" s="21"/>
      <c r="P1052" s="21"/>
      <c r="Q1052" s="21"/>
      <c r="R1052" s="21"/>
      <c r="S1052" s="21"/>
      <c r="T1052" s="21"/>
      <c r="U1052" s="21"/>
      <c r="V1052" s="21"/>
      <c r="W1052" s="21"/>
      <c r="X1052" s="21"/>
      <c r="Y1052" s="21"/>
      <c r="Z1052" s="21"/>
    </row>
    <row r="1053">
      <c r="A1053" s="21"/>
      <c r="B1053" s="21"/>
      <c r="C1053" s="21"/>
      <c r="D1053" s="21"/>
      <c r="E1053" s="21"/>
      <c r="F1053" s="21"/>
      <c r="G1053" s="21"/>
      <c r="H1053" s="21"/>
      <c r="I1053" s="21"/>
      <c r="J1053" s="21"/>
      <c r="K1053" s="21"/>
      <c r="L1053" s="21"/>
      <c r="M1053" s="21"/>
      <c r="N1053" s="21"/>
      <c r="O1053" s="21"/>
      <c r="P1053" s="21"/>
      <c r="Q1053" s="21"/>
      <c r="R1053" s="21"/>
      <c r="S1053" s="21"/>
      <c r="T1053" s="21"/>
      <c r="U1053" s="21"/>
      <c r="V1053" s="21"/>
      <c r="W1053" s="21"/>
      <c r="X1053" s="21"/>
      <c r="Y1053" s="21"/>
      <c r="Z1053" s="21"/>
    </row>
    <row r="1054">
      <c r="A1054" s="21"/>
      <c r="B1054" s="21"/>
      <c r="C1054" s="21"/>
      <c r="D1054" s="21"/>
      <c r="E1054" s="21"/>
      <c r="F1054" s="21"/>
      <c r="G1054" s="21"/>
      <c r="H1054" s="21"/>
      <c r="I1054" s="21"/>
      <c r="J1054" s="21"/>
      <c r="K1054" s="21"/>
      <c r="L1054" s="21"/>
      <c r="M1054" s="21"/>
      <c r="N1054" s="21"/>
      <c r="O1054" s="21"/>
      <c r="P1054" s="21"/>
      <c r="Q1054" s="21"/>
      <c r="R1054" s="21"/>
      <c r="S1054" s="21"/>
      <c r="T1054" s="21"/>
      <c r="U1054" s="21"/>
      <c r="V1054" s="21"/>
      <c r="W1054" s="21"/>
      <c r="X1054" s="21"/>
      <c r="Y1054" s="21"/>
      <c r="Z1054" s="21"/>
    </row>
    <row r="1055">
      <c r="A1055" s="21"/>
      <c r="B1055" s="21"/>
      <c r="C1055" s="21"/>
      <c r="D1055" s="21"/>
      <c r="E1055" s="21"/>
      <c r="F1055" s="21"/>
      <c r="G1055" s="21"/>
      <c r="H1055" s="21"/>
      <c r="I1055" s="21"/>
      <c r="J1055" s="21"/>
      <c r="K1055" s="21"/>
      <c r="L1055" s="21"/>
      <c r="M1055" s="21"/>
      <c r="N1055" s="21"/>
      <c r="O1055" s="21"/>
      <c r="P1055" s="21"/>
      <c r="Q1055" s="21"/>
      <c r="R1055" s="21"/>
      <c r="S1055" s="21"/>
      <c r="T1055" s="21"/>
      <c r="U1055" s="21"/>
      <c r="V1055" s="21"/>
      <c r="W1055" s="21"/>
      <c r="X1055" s="21"/>
      <c r="Y1055" s="21"/>
      <c r="Z1055" s="21"/>
    </row>
    <row r="1056">
      <c r="A1056" s="21"/>
      <c r="B1056" s="21"/>
      <c r="C1056" s="21"/>
      <c r="D1056" s="21"/>
      <c r="E1056" s="21"/>
      <c r="F1056" s="21"/>
      <c r="G1056" s="21"/>
      <c r="H1056" s="21"/>
      <c r="I1056" s="21"/>
      <c r="J1056" s="21"/>
      <c r="K1056" s="21"/>
      <c r="L1056" s="21"/>
      <c r="M1056" s="21"/>
      <c r="N1056" s="21"/>
      <c r="O1056" s="21"/>
      <c r="P1056" s="21"/>
      <c r="Q1056" s="21"/>
      <c r="R1056" s="21"/>
      <c r="S1056" s="21"/>
      <c r="T1056" s="21"/>
      <c r="U1056" s="21"/>
      <c r="V1056" s="21"/>
      <c r="W1056" s="21"/>
      <c r="X1056" s="21"/>
      <c r="Y1056" s="21"/>
      <c r="Z1056" s="21"/>
    </row>
    <row r="1057">
      <c r="A1057" s="21"/>
      <c r="B1057" s="21"/>
      <c r="C1057" s="21"/>
      <c r="D1057" s="21"/>
      <c r="E1057" s="21"/>
      <c r="F1057" s="21"/>
      <c r="G1057" s="21"/>
      <c r="H1057" s="21"/>
      <c r="I1057" s="21"/>
      <c r="J1057" s="21"/>
      <c r="K1057" s="21"/>
      <c r="L1057" s="21"/>
      <c r="M1057" s="21"/>
      <c r="N1057" s="21"/>
      <c r="O1057" s="21"/>
      <c r="P1057" s="21"/>
      <c r="Q1057" s="21"/>
      <c r="R1057" s="21"/>
      <c r="S1057" s="21"/>
      <c r="T1057" s="21"/>
      <c r="U1057" s="21"/>
      <c r="V1057" s="21"/>
      <c r="W1057" s="21"/>
      <c r="X1057" s="21"/>
      <c r="Y1057" s="21"/>
      <c r="Z1057" s="21"/>
    </row>
  </sheetData>
  <autoFilter ref="$A$1:$Z$999"/>
  <hyperlinks>
    <hyperlink r:id="rId1" ref="J3"/>
    <hyperlink r:id="rId2" ref="J4"/>
    <hyperlink r:id="rId3" ref="J5"/>
    <hyperlink r:id="rId4" ref="J6"/>
    <hyperlink r:id="rId5" ref="J7"/>
    <hyperlink r:id="rId6" ref="J8"/>
    <hyperlink r:id="rId7" ref="J9"/>
    <hyperlink r:id="rId8" ref="J10"/>
    <hyperlink r:id="rId9" ref="J11"/>
    <hyperlink r:id="rId10" ref="J12"/>
    <hyperlink r:id="rId11" ref="J13"/>
    <hyperlink r:id="rId12" ref="J14"/>
    <hyperlink r:id="rId13" ref="J15"/>
    <hyperlink r:id="rId14" ref="J16"/>
    <hyperlink r:id="rId15" ref="J17"/>
    <hyperlink r:id="rId16" ref="J18"/>
    <hyperlink r:id="rId17" ref="J19"/>
    <hyperlink r:id="rId18" ref="J20"/>
    <hyperlink r:id="rId19" ref="J21"/>
    <hyperlink r:id="rId20" ref="J22"/>
    <hyperlink r:id="rId21" ref="J23"/>
    <hyperlink r:id="rId22" ref="J24"/>
    <hyperlink r:id="rId23" ref="J25"/>
    <hyperlink r:id="rId24" ref="J26"/>
    <hyperlink r:id="rId25" ref="J27"/>
    <hyperlink r:id="rId26" ref="J28"/>
    <hyperlink r:id="rId27" ref="J29"/>
    <hyperlink r:id="rId28" ref="J30"/>
    <hyperlink r:id="rId29" ref="J31"/>
    <hyperlink r:id="rId30" ref="J32"/>
    <hyperlink r:id="rId31" ref="J33"/>
    <hyperlink r:id="rId32" ref="J34"/>
    <hyperlink r:id="rId33" ref="J35"/>
    <hyperlink r:id="rId34" ref="J36"/>
    <hyperlink r:id="rId35" ref="J37"/>
    <hyperlink r:id="rId36" ref="J38"/>
    <hyperlink r:id="rId37" ref="J39"/>
    <hyperlink r:id="rId38" ref="J40"/>
    <hyperlink r:id="rId39" ref="J41"/>
    <hyperlink r:id="rId40" ref="J42"/>
    <hyperlink r:id="rId41" ref="J43"/>
    <hyperlink r:id="rId42" ref="J44"/>
    <hyperlink r:id="rId43" ref="J45"/>
    <hyperlink r:id="rId44" ref="J66"/>
    <hyperlink r:id="rId45" ref="J67"/>
    <hyperlink r:id="rId46" ref="J68"/>
    <hyperlink r:id="rId47" ref="J69"/>
    <hyperlink r:id="rId48" ref="J70"/>
    <hyperlink r:id="rId49" ref="J71"/>
    <hyperlink r:id="rId50" ref="J72"/>
    <hyperlink r:id="rId51" ref="J73"/>
    <hyperlink r:id="rId52" ref="J74"/>
    <hyperlink r:id="rId53" ref="J75"/>
    <hyperlink r:id="rId54" ref="J76"/>
    <hyperlink r:id="rId55" ref="J77"/>
    <hyperlink r:id="rId56" ref="J78"/>
    <hyperlink r:id="rId57" ref="J79"/>
    <hyperlink r:id="rId58" ref="J80"/>
    <hyperlink r:id="rId59" ref="J81"/>
    <hyperlink r:id="rId60" ref="J82"/>
    <hyperlink r:id="rId61" ref="J83"/>
    <hyperlink r:id="rId62" ref="J84"/>
    <hyperlink r:id="rId63" ref="J85"/>
    <hyperlink r:id="rId64" ref="J86"/>
    <hyperlink r:id="rId65" ref="J87"/>
  </hyperlinks>
  <drawing r:id="rId6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3.75"/>
    <col customWidth="1" min="8" max="8" width="33.88"/>
    <col customWidth="1" min="9" max="9" width="22.38"/>
    <col customWidth="1" min="10" max="10" width="18.38"/>
  </cols>
  <sheetData>
    <row r="1">
      <c r="A1" s="22" t="s">
        <v>0</v>
      </c>
      <c r="B1" s="23" t="s">
        <v>299</v>
      </c>
      <c r="C1" s="23" t="s">
        <v>300</v>
      </c>
      <c r="D1" s="23" t="s">
        <v>4</v>
      </c>
      <c r="E1" s="23" t="s">
        <v>301</v>
      </c>
      <c r="F1" s="23" t="s">
        <v>3</v>
      </c>
      <c r="G1" s="23" t="s">
        <v>5</v>
      </c>
      <c r="H1" s="23" t="s">
        <v>2</v>
      </c>
      <c r="I1" s="23" t="s">
        <v>302</v>
      </c>
      <c r="J1" s="23" t="s">
        <v>303</v>
      </c>
      <c r="K1" s="23" t="s">
        <v>9</v>
      </c>
      <c r="L1" s="23" t="s">
        <v>10</v>
      </c>
      <c r="M1" s="23" t="s">
        <v>11</v>
      </c>
      <c r="N1" s="23" t="s">
        <v>12</v>
      </c>
      <c r="O1" s="23" t="s">
        <v>13</v>
      </c>
      <c r="P1" s="24"/>
      <c r="Q1" s="24"/>
      <c r="R1" s="24"/>
      <c r="S1" s="24"/>
      <c r="T1" s="24"/>
      <c r="U1" s="24"/>
      <c r="V1" s="24"/>
      <c r="W1" s="24"/>
      <c r="X1" s="24"/>
      <c r="Y1" s="24"/>
      <c r="Z1" s="24"/>
    </row>
    <row r="2">
      <c r="A2" s="25" t="s">
        <v>304</v>
      </c>
      <c r="B2" s="26" t="s">
        <v>305</v>
      </c>
      <c r="C2" s="27" t="s">
        <v>213</v>
      </c>
      <c r="D2" s="28" t="s">
        <v>216</v>
      </c>
      <c r="E2" s="29" t="s">
        <v>306</v>
      </c>
      <c r="F2" s="27" t="s">
        <v>215</v>
      </c>
      <c r="G2" s="27" t="s">
        <v>19</v>
      </c>
      <c r="H2" s="27" t="s">
        <v>214</v>
      </c>
      <c r="I2" s="25" t="s">
        <v>307</v>
      </c>
      <c r="J2" s="25" t="s">
        <v>308</v>
      </c>
      <c r="K2" s="30" t="s">
        <v>309</v>
      </c>
      <c r="L2" s="26" t="s">
        <v>22</v>
      </c>
      <c r="M2" s="29" t="s">
        <v>19</v>
      </c>
      <c r="N2" s="26" t="s">
        <v>23</v>
      </c>
      <c r="O2" s="31"/>
      <c r="P2" s="31"/>
      <c r="Q2" s="31"/>
      <c r="R2" s="31"/>
      <c r="S2" s="31"/>
      <c r="T2" s="31"/>
      <c r="U2" s="31"/>
      <c r="V2" s="31"/>
      <c r="W2" s="31"/>
      <c r="X2" s="31"/>
      <c r="Y2" s="31"/>
      <c r="Z2" s="31"/>
    </row>
    <row r="3">
      <c r="A3" s="25" t="s">
        <v>304</v>
      </c>
      <c r="B3" s="26" t="s">
        <v>305</v>
      </c>
      <c r="C3" s="27" t="s">
        <v>66</v>
      </c>
      <c r="D3" s="28" t="s">
        <v>221</v>
      </c>
      <c r="E3" s="29" t="s">
        <v>306</v>
      </c>
      <c r="F3" s="27" t="s">
        <v>220</v>
      </c>
      <c r="G3" s="27" t="s">
        <v>19</v>
      </c>
      <c r="H3" s="27" t="s">
        <v>219</v>
      </c>
      <c r="I3" s="25" t="s">
        <v>307</v>
      </c>
      <c r="J3" s="25" t="s">
        <v>308</v>
      </c>
      <c r="K3" s="30" t="s">
        <v>309</v>
      </c>
      <c r="L3" s="26" t="s">
        <v>22</v>
      </c>
      <c r="M3" s="29" t="s">
        <v>19</v>
      </c>
      <c r="N3" s="26" t="s">
        <v>23</v>
      </c>
      <c r="O3" s="31"/>
      <c r="P3" s="31"/>
      <c r="Q3" s="31"/>
      <c r="R3" s="31"/>
      <c r="S3" s="31"/>
      <c r="T3" s="31"/>
      <c r="U3" s="31"/>
      <c r="V3" s="31"/>
      <c r="W3" s="31"/>
      <c r="X3" s="31"/>
      <c r="Y3" s="31"/>
      <c r="Z3" s="31"/>
    </row>
    <row r="4">
      <c r="A4" s="25" t="s">
        <v>304</v>
      </c>
      <c r="B4" s="26" t="s">
        <v>305</v>
      </c>
      <c r="C4" s="27" t="s">
        <v>197</v>
      </c>
      <c r="D4" s="28" t="s">
        <v>224</v>
      </c>
      <c r="E4" s="29" t="s">
        <v>306</v>
      </c>
      <c r="F4" s="27" t="s">
        <v>223</v>
      </c>
      <c r="G4" s="27" t="s">
        <v>225</v>
      </c>
      <c r="H4" s="27" t="s">
        <v>222</v>
      </c>
      <c r="I4" s="25" t="s">
        <v>307</v>
      </c>
      <c r="J4" s="25" t="s">
        <v>308</v>
      </c>
      <c r="K4" s="30" t="s">
        <v>309</v>
      </c>
      <c r="L4" s="26" t="s">
        <v>22</v>
      </c>
      <c r="M4" s="29" t="s">
        <v>19</v>
      </c>
      <c r="N4" s="26" t="s">
        <v>23</v>
      </c>
      <c r="O4" s="31"/>
      <c r="P4" s="31"/>
      <c r="Q4" s="31"/>
      <c r="R4" s="31"/>
      <c r="S4" s="31"/>
      <c r="T4" s="31"/>
      <c r="U4" s="31"/>
      <c r="V4" s="31"/>
      <c r="W4" s="31"/>
      <c r="X4" s="31"/>
      <c r="Y4" s="31"/>
      <c r="Z4" s="31"/>
    </row>
    <row r="5">
      <c r="A5" s="25" t="s">
        <v>304</v>
      </c>
      <c r="B5" s="26" t="s">
        <v>305</v>
      </c>
      <c r="C5" s="27" t="s">
        <v>226</v>
      </c>
      <c r="D5" s="28" t="s">
        <v>229</v>
      </c>
      <c r="E5" s="29" t="s">
        <v>306</v>
      </c>
      <c r="F5" s="27" t="s">
        <v>228</v>
      </c>
      <c r="G5" s="27" t="s">
        <v>19</v>
      </c>
      <c r="H5" s="27" t="s">
        <v>227</v>
      </c>
      <c r="I5" s="25" t="s">
        <v>307</v>
      </c>
      <c r="J5" s="25" t="s">
        <v>308</v>
      </c>
      <c r="K5" s="30" t="s">
        <v>309</v>
      </c>
      <c r="L5" s="26" t="s">
        <v>22</v>
      </c>
      <c r="M5" s="29" t="s">
        <v>19</v>
      </c>
      <c r="N5" s="26" t="s">
        <v>23</v>
      </c>
      <c r="O5" s="31"/>
      <c r="P5" s="31"/>
      <c r="Q5" s="31"/>
      <c r="R5" s="31"/>
      <c r="S5" s="31"/>
      <c r="T5" s="31"/>
      <c r="U5" s="31"/>
      <c r="V5" s="31"/>
      <c r="W5" s="31"/>
      <c r="X5" s="31"/>
      <c r="Y5" s="31"/>
      <c r="Z5" s="31"/>
    </row>
    <row r="6">
      <c r="A6" s="25" t="s">
        <v>304</v>
      </c>
      <c r="B6" s="26" t="s">
        <v>305</v>
      </c>
      <c r="C6" s="27" t="s">
        <v>96</v>
      </c>
      <c r="D6" s="28" t="s">
        <v>232</v>
      </c>
      <c r="E6" s="29" t="s">
        <v>306</v>
      </c>
      <c r="F6" s="27" t="s">
        <v>231</v>
      </c>
      <c r="G6" s="27" t="s">
        <v>19</v>
      </c>
      <c r="H6" s="27" t="s">
        <v>310</v>
      </c>
      <c r="I6" s="25" t="s">
        <v>307</v>
      </c>
      <c r="J6" s="25" t="s">
        <v>308</v>
      </c>
      <c r="K6" s="30" t="s">
        <v>309</v>
      </c>
      <c r="L6" s="26" t="s">
        <v>22</v>
      </c>
      <c r="M6" s="29" t="s">
        <v>19</v>
      </c>
      <c r="N6" s="26" t="s">
        <v>23</v>
      </c>
      <c r="O6" s="31"/>
      <c r="P6" s="31"/>
      <c r="Q6" s="31"/>
      <c r="R6" s="31"/>
      <c r="S6" s="31"/>
      <c r="T6" s="31"/>
      <c r="U6" s="31"/>
      <c r="V6" s="31"/>
      <c r="W6" s="31"/>
      <c r="X6" s="31"/>
      <c r="Y6" s="31"/>
      <c r="Z6" s="31"/>
    </row>
    <row r="7">
      <c r="A7" s="25" t="s">
        <v>304</v>
      </c>
      <c r="B7" s="26" t="s">
        <v>305</v>
      </c>
      <c r="C7" s="27" t="s">
        <v>233</v>
      </c>
      <c r="D7" s="28" t="s">
        <v>236</v>
      </c>
      <c r="E7" s="29" t="s">
        <v>306</v>
      </c>
      <c r="F7" s="27" t="s">
        <v>235</v>
      </c>
      <c r="G7" s="27" t="s">
        <v>19</v>
      </c>
      <c r="H7" s="27" t="s">
        <v>311</v>
      </c>
      <c r="I7" s="25" t="s">
        <v>307</v>
      </c>
      <c r="J7" s="25" t="s">
        <v>308</v>
      </c>
      <c r="K7" s="30" t="s">
        <v>309</v>
      </c>
      <c r="L7" s="26" t="s">
        <v>22</v>
      </c>
      <c r="M7" s="29" t="s">
        <v>19</v>
      </c>
      <c r="N7" s="26" t="s">
        <v>23</v>
      </c>
      <c r="O7" s="31"/>
      <c r="P7" s="31"/>
      <c r="Q7" s="31"/>
      <c r="R7" s="31"/>
      <c r="S7" s="31"/>
      <c r="T7" s="31"/>
      <c r="U7" s="31"/>
      <c r="V7" s="31"/>
      <c r="W7" s="31"/>
      <c r="X7" s="31"/>
      <c r="Y7" s="31"/>
      <c r="Z7" s="31"/>
    </row>
    <row r="8">
      <c r="A8" s="25" t="s">
        <v>304</v>
      </c>
      <c r="B8" s="26" t="s">
        <v>305</v>
      </c>
      <c r="C8" s="27" t="s">
        <v>237</v>
      </c>
      <c r="D8" s="28" t="s">
        <v>240</v>
      </c>
      <c r="E8" s="29" t="s">
        <v>306</v>
      </c>
      <c r="F8" s="27" t="s">
        <v>239</v>
      </c>
      <c r="G8" s="27" t="s">
        <v>19</v>
      </c>
      <c r="H8" s="27" t="s">
        <v>312</v>
      </c>
      <c r="I8" s="25" t="s">
        <v>307</v>
      </c>
      <c r="J8" s="25" t="s">
        <v>308</v>
      </c>
      <c r="K8" s="30" t="s">
        <v>309</v>
      </c>
      <c r="L8" s="26" t="s">
        <v>22</v>
      </c>
      <c r="M8" s="29" t="s">
        <v>19</v>
      </c>
      <c r="N8" s="26" t="s">
        <v>23</v>
      </c>
      <c r="O8" s="31"/>
      <c r="P8" s="31"/>
      <c r="Q8" s="31"/>
      <c r="R8" s="31"/>
      <c r="S8" s="31"/>
      <c r="T8" s="31"/>
      <c r="U8" s="31"/>
      <c r="V8" s="31"/>
      <c r="W8" s="31"/>
      <c r="X8" s="31"/>
      <c r="Y8" s="31"/>
      <c r="Z8" s="31"/>
    </row>
    <row r="9">
      <c r="A9" s="25" t="s">
        <v>304</v>
      </c>
      <c r="B9" s="26" t="s">
        <v>305</v>
      </c>
      <c r="C9" s="27" t="s">
        <v>241</v>
      </c>
      <c r="D9" s="28" t="s">
        <v>244</v>
      </c>
      <c r="E9" s="29" t="s">
        <v>306</v>
      </c>
      <c r="F9" s="27" t="s">
        <v>243</v>
      </c>
      <c r="G9" s="27" t="s">
        <v>19</v>
      </c>
      <c r="H9" s="27" t="s">
        <v>313</v>
      </c>
      <c r="I9" s="25" t="s">
        <v>307</v>
      </c>
      <c r="J9" s="25" t="s">
        <v>308</v>
      </c>
      <c r="K9" s="30" t="s">
        <v>309</v>
      </c>
      <c r="L9" s="26" t="s">
        <v>22</v>
      </c>
      <c r="M9" s="29" t="s">
        <v>19</v>
      </c>
      <c r="N9" s="26" t="s">
        <v>23</v>
      </c>
      <c r="O9" s="31"/>
      <c r="P9" s="31"/>
      <c r="Q9" s="31"/>
      <c r="R9" s="31"/>
      <c r="S9" s="31"/>
      <c r="T9" s="31"/>
      <c r="U9" s="31"/>
      <c r="V9" s="31"/>
      <c r="W9" s="31"/>
      <c r="X9" s="31"/>
      <c r="Y9" s="31"/>
      <c r="Z9" s="31"/>
    </row>
    <row r="10">
      <c r="A10" s="25" t="s">
        <v>304</v>
      </c>
      <c r="B10" s="26" t="s">
        <v>305</v>
      </c>
      <c r="C10" s="27" t="s">
        <v>245</v>
      </c>
      <c r="D10" s="28" t="s">
        <v>248</v>
      </c>
      <c r="E10" s="29" t="s">
        <v>306</v>
      </c>
      <c r="F10" s="27" t="s">
        <v>247</v>
      </c>
      <c r="G10" s="27" t="s">
        <v>19</v>
      </c>
      <c r="H10" s="27" t="s">
        <v>246</v>
      </c>
      <c r="I10" s="25" t="s">
        <v>307</v>
      </c>
      <c r="J10" s="25" t="s">
        <v>308</v>
      </c>
      <c r="K10" s="30" t="s">
        <v>309</v>
      </c>
      <c r="L10" s="26" t="s">
        <v>22</v>
      </c>
      <c r="M10" s="29" t="s">
        <v>19</v>
      </c>
      <c r="N10" s="26" t="s">
        <v>23</v>
      </c>
      <c r="O10" s="31"/>
      <c r="P10" s="31"/>
      <c r="Q10" s="31"/>
      <c r="R10" s="31"/>
      <c r="S10" s="31"/>
      <c r="T10" s="31"/>
      <c r="U10" s="31"/>
      <c r="V10" s="31"/>
      <c r="W10" s="31"/>
      <c r="X10" s="31"/>
      <c r="Y10" s="31"/>
      <c r="Z10" s="31"/>
    </row>
    <row r="11">
      <c r="A11" s="25" t="s">
        <v>304</v>
      </c>
      <c r="B11" s="26" t="s">
        <v>305</v>
      </c>
      <c r="C11" s="27" t="s">
        <v>314</v>
      </c>
      <c r="D11" s="28" t="s">
        <v>315</v>
      </c>
      <c r="E11" s="29" t="s">
        <v>306</v>
      </c>
      <c r="F11" s="27" t="s">
        <v>316</v>
      </c>
      <c r="G11" s="27" t="s">
        <v>19</v>
      </c>
      <c r="H11" s="27" t="s">
        <v>317</v>
      </c>
      <c r="I11" s="25" t="s">
        <v>307</v>
      </c>
      <c r="J11" s="25" t="s">
        <v>308</v>
      </c>
      <c r="K11" s="30" t="s">
        <v>309</v>
      </c>
      <c r="L11" s="26" t="s">
        <v>22</v>
      </c>
      <c r="M11" s="29" t="s">
        <v>19</v>
      </c>
      <c r="N11" s="26" t="s">
        <v>23</v>
      </c>
      <c r="O11" s="31"/>
      <c r="P11" s="31"/>
      <c r="Q11" s="31"/>
      <c r="R11" s="31"/>
      <c r="S11" s="31"/>
      <c r="T11" s="31"/>
      <c r="U11" s="31"/>
      <c r="V11" s="31"/>
      <c r="W11" s="31"/>
      <c r="X11" s="31"/>
      <c r="Y11" s="31"/>
      <c r="Z11" s="31"/>
    </row>
    <row r="12">
      <c r="A12" s="25" t="s">
        <v>304</v>
      </c>
      <c r="B12" s="26" t="s">
        <v>305</v>
      </c>
      <c r="C12" s="27" t="s">
        <v>249</v>
      </c>
      <c r="D12" s="28" t="s">
        <v>252</v>
      </c>
      <c r="E12" s="29" t="s">
        <v>306</v>
      </c>
      <c r="F12" s="27" t="s">
        <v>251</v>
      </c>
      <c r="G12" s="27" t="s">
        <v>253</v>
      </c>
      <c r="H12" s="27" t="s">
        <v>318</v>
      </c>
      <c r="I12" s="25" t="s">
        <v>307</v>
      </c>
      <c r="J12" s="25" t="s">
        <v>308</v>
      </c>
      <c r="K12" s="30" t="s">
        <v>309</v>
      </c>
      <c r="L12" s="26" t="s">
        <v>22</v>
      </c>
      <c r="M12" s="29" t="s">
        <v>19</v>
      </c>
      <c r="N12" s="26" t="s">
        <v>23</v>
      </c>
      <c r="O12" s="31"/>
      <c r="P12" s="31"/>
      <c r="Q12" s="31"/>
      <c r="R12" s="31"/>
      <c r="S12" s="31"/>
      <c r="T12" s="31"/>
      <c r="U12" s="31"/>
      <c r="V12" s="31"/>
      <c r="W12" s="31"/>
      <c r="X12" s="31"/>
      <c r="Y12" s="31"/>
      <c r="Z12" s="31"/>
    </row>
    <row r="13">
      <c r="A13" s="25" t="s">
        <v>304</v>
      </c>
      <c r="B13" s="26" t="s">
        <v>305</v>
      </c>
      <c r="C13" s="27" t="s">
        <v>254</v>
      </c>
      <c r="D13" s="28" t="s">
        <v>257</v>
      </c>
      <c r="E13" s="29" t="s">
        <v>306</v>
      </c>
      <c r="F13" s="27" t="s">
        <v>256</v>
      </c>
      <c r="G13" s="27" t="s">
        <v>258</v>
      </c>
      <c r="H13" s="27" t="s">
        <v>319</v>
      </c>
      <c r="I13" s="25" t="s">
        <v>307</v>
      </c>
      <c r="J13" s="25" t="s">
        <v>308</v>
      </c>
      <c r="K13" s="30" t="s">
        <v>309</v>
      </c>
      <c r="L13" s="26" t="s">
        <v>22</v>
      </c>
      <c r="M13" s="29" t="s">
        <v>19</v>
      </c>
      <c r="N13" s="26" t="s">
        <v>23</v>
      </c>
      <c r="O13" s="31"/>
      <c r="P13" s="31"/>
      <c r="Q13" s="31"/>
      <c r="R13" s="31"/>
      <c r="S13" s="31"/>
      <c r="T13" s="31"/>
      <c r="U13" s="31"/>
      <c r="V13" s="31"/>
      <c r="W13" s="31"/>
      <c r="X13" s="31"/>
      <c r="Y13" s="31"/>
      <c r="Z13" s="31"/>
    </row>
    <row r="14">
      <c r="A14" s="25" t="s">
        <v>304</v>
      </c>
      <c r="B14" s="26" t="s">
        <v>305</v>
      </c>
      <c r="C14" s="27" t="s">
        <v>259</v>
      </c>
      <c r="D14" s="28" t="s">
        <v>56</v>
      </c>
      <c r="E14" s="29" t="s">
        <v>306</v>
      </c>
      <c r="F14" s="27" t="s">
        <v>261</v>
      </c>
      <c r="G14" s="27" t="s">
        <v>57</v>
      </c>
      <c r="H14" s="27" t="s">
        <v>260</v>
      </c>
      <c r="I14" s="25" t="s">
        <v>307</v>
      </c>
      <c r="J14" s="25" t="s">
        <v>308</v>
      </c>
      <c r="K14" s="30" t="s">
        <v>309</v>
      </c>
      <c r="L14" s="26" t="s">
        <v>22</v>
      </c>
      <c r="M14" s="29" t="s">
        <v>19</v>
      </c>
      <c r="N14" s="26" t="s">
        <v>23</v>
      </c>
      <c r="O14" s="31"/>
      <c r="P14" s="31"/>
      <c r="Q14" s="31"/>
      <c r="R14" s="31"/>
      <c r="S14" s="31"/>
      <c r="T14" s="31"/>
      <c r="U14" s="31"/>
      <c r="V14" s="31"/>
      <c r="W14" s="31"/>
      <c r="X14" s="31"/>
      <c r="Y14" s="31"/>
      <c r="Z14" s="31"/>
    </row>
    <row r="15">
      <c r="A15" s="25" t="s">
        <v>304</v>
      </c>
      <c r="B15" s="26" t="s">
        <v>305</v>
      </c>
      <c r="C15" s="27" t="s">
        <v>262</v>
      </c>
      <c r="D15" s="28" t="s">
        <v>265</v>
      </c>
      <c r="E15" s="29" t="s">
        <v>306</v>
      </c>
      <c r="F15" s="27" t="s">
        <v>264</v>
      </c>
      <c r="G15" s="27" t="s">
        <v>57</v>
      </c>
      <c r="H15" s="27" t="s">
        <v>263</v>
      </c>
      <c r="I15" s="25" t="s">
        <v>307</v>
      </c>
      <c r="J15" s="25" t="s">
        <v>308</v>
      </c>
      <c r="K15" s="30" t="s">
        <v>309</v>
      </c>
      <c r="L15" s="26" t="s">
        <v>22</v>
      </c>
      <c r="M15" s="29" t="s">
        <v>19</v>
      </c>
      <c r="N15" s="26" t="s">
        <v>23</v>
      </c>
      <c r="O15" s="31"/>
      <c r="P15" s="31"/>
      <c r="Q15" s="31"/>
      <c r="R15" s="31"/>
      <c r="S15" s="31"/>
      <c r="T15" s="31"/>
      <c r="U15" s="31"/>
      <c r="V15" s="31"/>
      <c r="W15" s="31"/>
      <c r="X15" s="31"/>
      <c r="Y15" s="31"/>
      <c r="Z15" s="31"/>
    </row>
    <row r="16">
      <c r="A16" s="25" t="s">
        <v>304</v>
      </c>
      <c r="B16" s="26" t="s">
        <v>305</v>
      </c>
      <c r="C16" s="27" t="s">
        <v>266</v>
      </c>
      <c r="D16" s="28" t="s">
        <v>269</v>
      </c>
      <c r="E16" s="29" t="s">
        <v>306</v>
      </c>
      <c r="F16" s="27" t="s">
        <v>268</v>
      </c>
      <c r="G16" s="27" t="s">
        <v>19</v>
      </c>
      <c r="H16" s="27" t="s">
        <v>267</v>
      </c>
      <c r="I16" s="25" t="s">
        <v>307</v>
      </c>
      <c r="J16" s="25" t="s">
        <v>308</v>
      </c>
      <c r="K16" s="30" t="s">
        <v>309</v>
      </c>
      <c r="L16" s="26" t="s">
        <v>22</v>
      </c>
      <c r="M16" s="29" t="s">
        <v>19</v>
      </c>
      <c r="N16" s="26" t="s">
        <v>23</v>
      </c>
      <c r="O16" s="31"/>
      <c r="P16" s="31"/>
      <c r="Q16" s="31"/>
      <c r="R16" s="31"/>
      <c r="S16" s="31"/>
      <c r="T16" s="31"/>
      <c r="U16" s="31"/>
      <c r="V16" s="31"/>
      <c r="W16" s="31"/>
      <c r="X16" s="31"/>
      <c r="Y16" s="31"/>
      <c r="Z16" s="31"/>
    </row>
    <row r="17">
      <c r="A17" s="25" t="s">
        <v>304</v>
      </c>
      <c r="B17" s="26" t="s">
        <v>305</v>
      </c>
      <c r="C17" s="27" t="s">
        <v>75</v>
      </c>
      <c r="D17" s="28" t="s">
        <v>320</v>
      </c>
      <c r="E17" s="29" t="s">
        <v>306</v>
      </c>
      <c r="F17" s="27" t="s">
        <v>321</v>
      </c>
      <c r="G17" s="27" t="s">
        <v>225</v>
      </c>
      <c r="H17" s="27" t="s">
        <v>322</v>
      </c>
      <c r="I17" s="25" t="s">
        <v>307</v>
      </c>
      <c r="J17" s="25" t="s">
        <v>308</v>
      </c>
      <c r="K17" s="30" t="s">
        <v>309</v>
      </c>
      <c r="L17" s="26" t="s">
        <v>22</v>
      </c>
      <c r="M17" s="29" t="s">
        <v>19</v>
      </c>
      <c r="N17" s="26" t="s">
        <v>23</v>
      </c>
      <c r="O17" s="31"/>
      <c r="P17" s="31"/>
      <c r="Q17" s="31"/>
      <c r="R17" s="31"/>
      <c r="S17" s="31"/>
      <c r="T17" s="31"/>
      <c r="U17" s="31"/>
      <c r="V17" s="31"/>
      <c r="W17" s="31"/>
      <c r="X17" s="31"/>
      <c r="Y17" s="31"/>
      <c r="Z17" s="31"/>
    </row>
    <row r="18">
      <c r="A18" s="25" t="s">
        <v>304</v>
      </c>
      <c r="B18" s="26" t="s">
        <v>305</v>
      </c>
      <c r="C18" s="27" t="s">
        <v>323</v>
      </c>
      <c r="D18" s="28" t="s">
        <v>324</v>
      </c>
      <c r="E18" s="29" t="s">
        <v>306</v>
      </c>
      <c r="F18" s="27" t="s">
        <v>325</v>
      </c>
      <c r="G18" s="27" t="s">
        <v>225</v>
      </c>
      <c r="H18" s="27" t="s">
        <v>326</v>
      </c>
      <c r="I18" s="25" t="s">
        <v>307</v>
      </c>
      <c r="J18" s="25" t="s">
        <v>308</v>
      </c>
      <c r="K18" s="30" t="s">
        <v>309</v>
      </c>
      <c r="L18" s="26" t="s">
        <v>22</v>
      </c>
      <c r="M18" s="29" t="s">
        <v>19</v>
      </c>
      <c r="N18" s="26" t="s">
        <v>23</v>
      </c>
      <c r="O18" s="31"/>
      <c r="P18" s="31"/>
      <c r="Q18" s="31"/>
      <c r="R18" s="31"/>
      <c r="S18" s="31"/>
      <c r="T18" s="31"/>
      <c r="U18" s="31"/>
      <c r="V18" s="31"/>
      <c r="W18" s="31"/>
      <c r="X18" s="31"/>
      <c r="Y18" s="31"/>
      <c r="Z18" s="31"/>
    </row>
    <row r="19">
      <c r="A19" s="25" t="s">
        <v>304</v>
      </c>
      <c r="B19" s="26" t="s">
        <v>305</v>
      </c>
      <c r="C19" s="27" t="s">
        <v>270</v>
      </c>
      <c r="D19" s="28" t="s">
        <v>273</v>
      </c>
      <c r="E19" s="29" t="s">
        <v>306</v>
      </c>
      <c r="F19" s="27" t="s">
        <v>272</v>
      </c>
      <c r="G19" s="27" t="s">
        <v>19</v>
      </c>
      <c r="H19" s="27" t="s">
        <v>327</v>
      </c>
      <c r="I19" s="25" t="s">
        <v>307</v>
      </c>
      <c r="J19" s="25" t="s">
        <v>308</v>
      </c>
      <c r="K19" s="30" t="s">
        <v>309</v>
      </c>
      <c r="L19" s="26" t="s">
        <v>22</v>
      </c>
      <c r="M19" s="29" t="s">
        <v>19</v>
      </c>
      <c r="N19" s="26" t="s">
        <v>23</v>
      </c>
      <c r="O19" s="31"/>
      <c r="P19" s="31"/>
      <c r="Q19" s="31"/>
      <c r="R19" s="31"/>
      <c r="S19" s="31"/>
      <c r="T19" s="31"/>
      <c r="U19" s="31"/>
      <c r="V19" s="31"/>
      <c r="W19" s="31"/>
      <c r="X19" s="31"/>
      <c r="Y19" s="31"/>
      <c r="Z19" s="31"/>
    </row>
    <row r="20">
      <c r="A20" s="25" t="s">
        <v>304</v>
      </c>
      <c r="B20" s="26" t="s">
        <v>305</v>
      </c>
      <c r="C20" s="27" t="s">
        <v>328</v>
      </c>
      <c r="D20" s="28" t="s">
        <v>329</v>
      </c>
      <c r="E20" s="29" t="s">
        <v>306</v>
      </c>
      <c r="F20" s="27" t="s">
        <v>330</v>
      </c>
      <c r="G20" s="27" t="s">
        <v>19</v>
      </c>
      <c r="H20" s="27" t="s">
        <v>331</v>
      </c>
      <c r="I20" s="25" t="s">
        <v>307</v>
      </c>
      <c r="J20" s="25" t="s">
        <v>308</v>
      </c>
      <c r="K20" s="30" t="s">
        <v>309</v>
      </c>
      <c r="L20" s="26" t="s">
        <v>22</v>
      </c>
      <c r="M20" s="29" t="s">
        <v>19</v>
      </c>
      <c r="N20" s="26" t="s">
        <v>23</v>
      </c>
      <c r="O20" s="31"/>
      <c r="P20" s="31"/>
      <c r="Q20" s="31"/>
      <c r="R20" s="31"/>
      <c r="S20" s="31"/>
      <c r="T20" s="31"/>
      <c r="U20" s="31"/>
      <c r="V20" s="31"/>
      <c r="W20" s="31"/>
      <c r="X20" s="31"/>
      <c r="Y20" s="31"/>
      <c r="Z20" s="31"/>
    </row>
    <row r="21">
      <c r="A21" s="25" t="s">
        <v>304</v>
      </c>
      <c r="B21" s="26" t="s">
        <v>305</v>
      </c>
      <c r="C21" s="27" t="s">
        <v>274</v>
      </c>
      <c r="D21" s="28" t="s">
        <v>277</v>
      </c>
      <c r="E21" s="29" t="s">
        <v>306</v>
      </c>
      <c r="F21" s="27" t="s">
        <v>276</v>
      </c>
      <c r="G21" s="27" t="s">
        <v>19</v>
      </c>
      <c r="H21" s="27" t="s">
        <v>332</v>
      </c>
      <c r="I21" s="25" t="s">
        <v>307</v>
      </c>
      <c r="J21" s="25" t="s">
        <v>308</v>
      </c>
      <c r="K21" s="30" t="s">
        <v>309</v>
      </c>
      <c r="L21" s="26" t="s">
        <v>22</v>
      </c>
      <c r="M21" s="29" t="s">
        <v>19</v>
      </c>
      <c r="N21" s="26" t="s">
        <v>23</v>
      </c>
      <c r="O21" s="31"/>
      <c r="P21" s="31"/>
      <c r="Q21" s="31"/>
      <c r="R21" s="31"/>
      <c r="S21" s="31"/>
      <c r="T21" s="31"/>
      <c r="U21" s="31"/>
      <c r="V21" s="31"/>
      <c r="W21" s="31"/>
      <c r="X21" s="31"/>
      <c r="Y21" s="31"/>
      <c r="Z21" s="31"/>
    </row>
    <row r="22">
      <c r="A22" s="25" t="s">
        <v>304</v>
      </c>
      <c r="B22" s="26" t="s">
        <v>305</v>
      </c>
      <c r="C22" s="27" t="s">
        <v>278</v>
      </c>
      <c r="D22" s="28" t="s">
        <v>281</v>
      </c>
      <c r="E22" s="29" t="s">
        <v>306</v>
      </c>
      <c r="F22" s="27" t="s">
        <v>280</v>
      </c>
      <c r="G22" s="27" t="s">
        <v>19</v>
      </c>
      <c r="H22" s="27" t="s">
        <v>333</v>
      </c>
      <c r="I22" s="25" t="s">
        <v>307</v>
      </c>
      <c r="J22" s="25" t="s">
        <v>308</v>
      </c>
      <c r="K22" s="30" t="s">
        <v>309</v>
      </c>
      <c r="L22" s="26" t="s">
        <v>22</v>
      </c>
      <c r="M22" s="29" t="s">
        <v>19</v>
      </c>
      <c r="N22" s="26" t="s">
        <v>23</v>
      </c>
      <c r="O22" s="31"/>
      <c r="P22" s="31"/>
      <c r="Q22" s="31"/>
      <c r="R22" s="31"/>
      <c r="S22" s="31"/>
      <c r="T22" s="31"/>
      <c r="U22" s="31"/>
      <c r="V22" s="31"/>
      <c r="W22" s="31"/>
      <c r="X22" s="31"/>
      <c r="Y22" s="31"/>
      <c r="Z22" s="31"/>
    </row>
    <row r="23">
      <c r="A23" s="25" t="s">
        <v>304</v>
      </c>
      <c r="B23" s="26" t="s">
        <v>305</v>
      </c>
      <c r="C23" s="27" t="s">
        <v>334</v>
      </c>
      <c r="D23" s="28" t="s">
        <v>269</v>
      </c>
      <c r="E23" s="29" t="s">
        <v>306</v>
      </c>
      <c r="F23" s="27" t="s">
        <v>335</v>
      </c>
      <c r="G23" s="27" t="s">
        <v>19</v>
      </c>
      <c r="H23" s="27" t="s">
        <v>336</v>
      </c>
      <c r="I23" s="25" t="s">
        <v>307</v>
      </c>
      <c r="J23" s="25" t="s">
        <v>308</v>
      </c>
      <c r="K23" s="30" t="s">
        <v>309</v>
      </c>
      <c r="L23" s="26" t="s">
        <v>22</v>
      </c>
      <c r="M23" s="29" t="s">
        <v>19</v>
      </c>
      <c r="N23" s="26" t="s">
        <v>23</v>
      </c>
      <c r="O23" s="31"/>
      <c r="P23" s="31"/>
      <c r="Q23" s="31"/>
      <c r="R23" s="31"/>
      <c r="S23" s="31"/>
      <c r="T23" s="31"/>
      <c r="U23" s="31"/>
      <c r="V23" s="31"/>
      <c r="W23" s="31"/>
      <c r="X23" s="31"/>
      <c r="Y23" s="31"/>
      <c r="Z23" s="31"/>
    </row>
    <row r="24">
      <c r="A24" s="25" t="s">
        <v>304</v>
      </c>
      <c r="B24" s="26" t="s">
        <v>305</v>
      </c>
      <c r="C24" s="27" t="s">
        <v>337</v>
      </c>
      <c r="D24" s="28" t="s">
        <v>338</v>
      </c>
      <c r="E24" s="29" t="s">
        <v>306</v>
      </c>
      <c r="F24" s="27" t="s">
        <v>339</v>
      </c>
      <c r="G24" s="27" t="s">
        <v>57</v>
      </c>
      <c r="H24" s="27" t="s">
        <v>340</v>
      </c>
      <c r="I24" s="25" t="s">
        <v>307</v>
      </c>
      <c r="J24" s="25" t="s">
        <v>308</v>
      </c>
      <c r="K24" s="30" t="s">
        <v>309</v>
      </c>
      <c r="L24" s="26" t="s">
        <v>22</v>
      </c>
      <c r="M24" s="29" t="s">
        <v>19</v>
      </c>
      <c r="N24" s="26" t="s">
        <v>23</v>
      </c>
      <c r="O24" s="31"/>
      <c r="P24" s="31"/>
      <c r="Q24" s="31"/>
      <c r="R24" s="31"/>
      <c r="S24" s="31"/>
      <c r="T24" s="31"/>
      <c r="U24" s="31"/>
      <c r="V24" s="31"/>
      <c r="W24" s="31"/>
      <c r="X24" s="31"/>
      <c r="Y24" s="31"/>
      <c r="Z24" s="31"/>
    </row>
    <row r="25">
      <c r="A25" s="25" t="s">
        <v>304</v>
      </c>
      <c r="B25" s="26" t="s">
        <v>305</v>
      </c>
      <c r="C25" s="27" t="s">
        <v>99</v>
      </c>
      <c r="D25" s="28" t="s">
        <v>284</v>
      </c>
      <c r="E25" s="29" t="s">
        <v>306</v>
      </c>
      <c r="F25" s="27" t="s">
        <v>283</v>
      </c>
      <c r="G25" s="27" t="s">
        <v>19</v>
      </c>
      <c r="H25" s="27" t="s">
        <v>282</v>
      </c>
      <c r="I25" s="25" t="s">
        <v>307</v>
      </c>
      <c r="J25" s="25" t="s">
        <v>308</v>
      </c>
      <c r="K25" s="30" t="s">
        <v>309</v>
      </c>
      <c r="L25" s="26" t="s">
        <v>22</v>
      </c>
      <c r="M25" s="29" t="s">
        <v>19</v>
      </c>
      <c r="N25" s="26" t="s">
        <v>23</v>
      </c>
      <c r="O25" s="31"/>
      <c r="P25" s="31"/>
      <c r="Q25" s="31"/>
      <c r="R25" s="31"/>
      <c r="S25" s="31"/>
      <c r="T25" s="31"/>
      <c r="U25" s="31"/>
      <c r="V25" s="31"/>
      <c r="W25" s="31"/>
      <c r="X25" s="31"/>
      <c r="Y25" s="31"/>
      <c r="Z25" s="31"/>
    </row>
    <row r="26">
      <c r="A26" s="25" t="s">
        <v>304</v>
      </c>
      <c r="B26" s="26" t="s">
        <v>305</v>
      </c>
      <c r="C26" s="27" t="s">
        <v>285</v>
      </c>
      <c r="D26" s="28" t="s">
        <v>288</v>
      </c>
      <c r="E26" s="29" t="s">
        <v>306</v>
      </c>
      <c r="F26" s="27" t="s">
        <v>287</v>
      </c>
      <c r="G26" s="27" t="s">
        <v>19</v>
      </c>
      <c r="H26" s="27" t="s">
        <v>341</v>
      </c>
      <c r="I26" s="25" t="s">
        <v>307</v>
      </c>
      <c r="J26" s="25" t="s">
        <v>308</v>
      </c>
      <c r="K26" s="30" t="s">
        <v>309</v>
      </c>
      <c r="L26" s="26" t="s">
        <v>22</v>
      </c>
      <c r="M26" s="29" t="s">
        <v>19</v>
      </c>
      <c r="N26" s="26" t="s">
        <v>23</v>
      </c>
      <c r="O26" s="31"/>
      <c r="P26" s="31"/>
      <c r="Q26" s="31"/>
      <c r="R26" s="31"/>
      <c r="S26" s="31"/>
      <c r="T26" s="31"/>
      <c r="U26" s="31"/>
      <c r="V26" s="31"/>
      <c r="W26" s="31"/>
      <c r="X26" s="31"/>
      <c r="Y26" s="31"/>
      <c r="Z26" s="31"/>
    </row>
    <row r="27">
      <c r="A27" s="25" t="s">
        <v>304</v>
      </c>
      <c r="B27" s="26" t="s">
        <v>305</v>
      </c>
      <c r="C27" s="27" t="s">
        <v>289</v>
      </c>
      <c r="D27" s="28" t="s">
        <v>232</v>
      </c>
      <c r="E27" s="29" t="s">
        <v>306</v>
      </c>
      <c r="F27" s="27" t="s">
        <v>291</v>
      </c>
      <c r="G27" s="27" t="s">
        <v>19</v>
      </c>
      <c r="H27" s="27" t="s">
        <v>342</v>
      </c>
      <c r="I27" s="25" t="s">
        <v>307</v>
      </c>
      <c r="J27" s="25" t="s">
        <v>308</v>
      </c>
      <c r="K27" s="30" t="s">
        <v>309</v>
      </c>
      <c r="L27" s="26" t="s">
        <v>22</v>
      </c>
      <c r="M27" s="29" t="s">
        <v>19</v>
      </c>
      <c r="N27" s="26" t="s">
        <v>23</v>
      </c>
      <c r="O27" s="31"/>
      <c r="P27" s="31"/>
      <c r="Q27" s="31"/>
      <c r="R27" s="31"/>
      <c r="S27" s="31"/>
      <c r="T27" s="31"/>
      <c r="U27" s="31"/>
      <c r="V27" s="31"/>
      <c r="W27" s="31"/>
      <c r="X27" s="31"/>
      <c r="Y27" s="31"/>
      <c r="Z27" s="31"/>
    </row>
    <row r="28">
      <c r="A28" s="25" t="s">
        <v>304</v>
      </c>
      <c r="B28" s="26" t="s">
        <v>305</v>
      </c>
      <c r="C28" s="27" t="s">
        <v>343</v>
      </c>
      <c r="D28" s="28" t="s">
        <v>344</v>
      </c>
      <c r="E28" s="29" t="s">
        <v>306</v>
      </c>
      <c r="F28" s="27" t="s">
        <v>345</v>
      </c>
      <c r="G28" s="27" t="s">
        <v>19</v>
      </c>
      <c r="H28" s="27" t="s">
        <v>346</v>
      </c>
      <c r="I28" s="25" t="s">
        <v>307</v>
      </c>
      <c r="J28" s="25" t="s">
        <v>308</v>
      </c>
      <c r="K28" s="30" t="s">
        <v>309</v>
      </c>
      <c r="L28" s="26" t="s">
        <v>22</v>
      </c>
      <c r="M28" s="29" t="s">
        <v>19</v>
      </c>
      <c r="N28" s="26" t="s">
        <v>23</v>
      </c>
      <c r="O28" s="31"/>
      <c r="P28" s="31"/>
      <c r="Q28" s="31"/>
      <c r="R28" s="31"/>
      <c r="S28" s="31"/>
      <c r="T28" s="31"/>
      <c r="U28" s="31"/>
      <c r="V28" s="31"/>
      <c r="W28" s="31"/>
      <c r="X28" s="31"/>
      <c r="Y28" s="31"/>
      <c r="Z28" s="31"/>
    </row>
    <row r="29">
      <c r="A29" s="25" t="s">
        <v>304</v>
      </c>
      <c r="B29" s="26" t="s">
        <v>305</v>
      </c>
      <c r="C29" s="27" t="s">
        <v>347</v>
      </c>
      <c r="D29" s="28" t="s">
        <v>295</v>
      </c>
      <c r="E29" s="29" t="s">
        <v>306</v>
      </c>
      <c r="F29" s="27" t="s">
        <v>294</v>
      </c>
      <c r="G29" s="27" t="s">
        <v>19</v>
      </c>
      <c r="H29" s="27" t="s">
        <v>348</v>
      </c>
      <c r="I29" s="25" t="s">
        <v>307</v>
      </c>
      <c r="J29" s="25" t="s">
        <v>308</v>
      </c>
      <c r="K29" s="30" t="s">
        <v>309</v>
      </c>
      <c r="L29" s="26" t="s">
        <v>22</v>
      </c>
      <c r="M29" s="29" t="s">
        <v>19</v>
      </c>
      <c r="N29" s="26" t="s">
        <v>23</v>
      </c>
      <c r="O29" s="31"/>
      <c r="P29" s="31"/>
      <c r="Q29" s="31"/>
      <c r="R29" s="31"/>
      <c r="S29" s="31"/>
      <c r="T29" s="31"/>
      <c r="U29" s="31"/>
      <c r="V29" s="31"/>
      <c r="W29" s="31"/>
      <c r="X29" s="31"/>
      <c r="Y29" s="31"/>
      <c r="Z29" s="31"/>
    </row>
    <row r="30">
      <c r="A30" s="25" t="s">
        <v>304</v>
      </c>
      <c r="B30" s="26" t="s">
        <v>305</v>
      </c>
      <c r="C30" s="27" t="s">
        <v>105</v>
      </c>
      <c r="D30" s="28" t="s">
        <v>298</v>
      </c>
      <c r="E30" s="29" t="s">
        <v>306</v>
      </c>
      <c r="F30" s="27" t="s">
        <v>297</v>
      </c>
      <c r="G30" s="27" t="s">
        <v>19</v>
      </c>
      <c r="H30" s="27" t="s">
        <v>349</v>
      </c>
      <c r="I30" s="25" t="s">
        <v>307</v>
      </c>
      <c r="J30" s="25" t="s">
        <v>308</v>
      </c>
      <c r="K30" s="30" t="s">
        <v>309</v>
      </c>
      <c r="L30" s="26" t="s">
        <v>22</v>
      </c>
      <c r="M30" s="29" t="s">
        <v>19</v>
      </c>
      <c r="N30" s="26" t="s">
        <v>23</v>
      </c>
      <c r="O30" s="31"/>
      <c r="P30" s="31"/>
      <c r="Q30" s="31"/>
      <c r="R30" s="31"/>
      <c r="S30" s="31"/>
      <c r="T30" s="31"/>
      <c r="U30" s="31"/>
      <c r="V30" s="31"/>
      <c r="W30" s="31"/>
      <c r="X30" s="31"/>
      <c r="Y30" s="31"/>
      <c r="Z30" s="31"/>
    </row>
    <row r="31">
      <c r="A31" s="25" t="s">
        <v>304</v>
      </c>
      <c r="B31" s="26" t="s">
        <v>305</v>
      </c>
      <c r="C31" s="27" t="s">
        <v>350</v>
      </c>
      <c r="D31" s="28" t="s">
        <v>229</v>
      </c>
      <c r="E31" s="29" t="s">
        <v>306</v>
      </c>
      <c r="F31" s="27" t="s">
        <v>351</v>
      </c>
      <c r="G31" s="27" t="s">
        <v>19</v>
      </c>
      <c r="H31" s="27" t="s">
        <v>352</v>
      </c>
      <c r="I31" s="25" t="s">
        <v>307</v>
      </c>
      <c r="J31" s="25" t="s">
        <v>308</v>
      </c>
      <c r="K31" s="30" t="s">
        <v>309</v>
      </c>
      <c r="L31" s="26" t="s">
        <v>22</v>
      </c>
      <c r="M31" s="29" t="s">
        <v>19</v>
      </c>
      <c r="N31" s="26" t="s">
        <v>23</v>
      </c>
      <c r="O31" s="31"/>
      <c r="P31" s="31"/>
      <c r="Q31" s="31"/>
      <c r="R31" s="31"/>
      <c r="S31" s="31"/>
      <c r="T31" s="31"/>
      <c r="U31" s="31"/>
      <c r="V31" s="31"/>
      <c r="W31" s="31"/>
      <c r="X31" s="31"/>
      <c r="Y31" s="31"/>
      <c r="Z31" s="31"/>
    </row>
    <row r="32">
      <c r="A32" s="25" t="s">
        <v>304</v>
      </c>
      <c r="B32" s="26" t="s">
        <v>305</v>
      </c>
      <c r="C32" s="27" t="s">
        <v>353</v>
      </c>
      <c r="D32" s="28" t="s">
        <v>354</v>
      </c>
      <c r="E32" s="29" t="s">
        <v>306</v>
      </c>
      <c r="F32" s="27" t="s">
        <v>355</v>
      </c>
      <c r="G32" s="27" t="s">
        <v>19</v>
      </c>
      <c r="H32" s="27" t="s">
        <v>356</v>
      </c>
      <c r="I32" s="25" t="s">
        <v>307</v>
      </c>
      <c r="J32" s="25" t="s">
        <v>308</v>
      </c>
      <c r="K32" s="30" t="s">
        <v>309</v>
      </c>
      <c r="L32" s="26" t="s">
        <v>22</v>
      </c>
      <c r="M32" s="29" t="s">
        <v>19</v>
      </c>
      <c r="N32" s="26" t="s">
        <v>23</v>
      </c>
      <c r="O32" s="31"/>
      <c r="P32" s="31"/>
      <c r="Q32" s="31"/>
      <c r="R32" s="31"/>
      <c r="S32" s="31"/>
      <c r="T32" s="31"/>
      <c r="U32" s="31"/>
      <c r="V32" s="31"/>
      <c r="W32" s="31"/>
      <c r="X32" s="31"/>
      <c r="Y32" s="31"/>
      <c r="Z32" s="31"/>
    </row>
    <row r="33">
      <c r="A33" s="25" t="s">
        <v>304</v>
      </c>
      <c r="B33" s="27" t="s">
        <v>357</v>
      </c>
      <c r="C33" s="27" t="s">
        <v>213</v>
      </c>
      <c r="D33" s="28" t="s">
        <v>358</v>
      </c>
      <c r="E33" s="29" t="s">
        <v>359</v>
      </c>
      <c r="F33" s="27" t="s">
        <v>215</v>
      </c>
      <c r="G33" s="27" t="s">
        <v>19</v>
      </c>
      <c r="H33" s="27" t="s">
        <v>214</v>
      </c>
      <c r="I33" s="25" t="s">
        <v>360</v>
      </c>
      <c r="J33" s="25" t="s">
        <v>308</v>
      </c>
      <c r="K33" s="30" t="s">
        <v>361</v>
      </c>
      <c r="L33" s="26" t="s">
        <v>22</v>
      </c>
      <c r="M33" s="29" t="s">
        <v>19</v>
      </c>
      <c r="N33" s="26" t="s">
        <v>23</v>
      </c>
      <c r="O33" s="31"/>
      <c r="P33" s="31"/>
      <c r="Q33" s="31"/>
      <c r="R33" s="31"/>
      <c r="S33" s="31"/>
      <c r="T33" s="31"/>
      <c r="U33" s="31"/>
      <c r="V33" s="31"/>
      <c r="W33" s="31"/>
      <c r="X33" s="31"/>
      <c r="Y33" s="31"/>
      <c r="Z33" s="31"/>
    </row>
    <row r="34">
      <c r="A34" s="25" t="s">
        <v>304</v>
      </c>
      <c r="B34" s="27" t="s">
        <v>357</v>
      </c>
      <c r="C34" s="27" t="s">
        <v>66</v>
      </c>
      <c r="D34" s="28" t="s">
        <v>362</v>
      </c>
      <c r="E34" s="29" t="s">
        <v>359</v>
      </c>
      <c r="F34" s="27" t="s">
        <v>220</v>
      </c>
      <c r="G34" s="27" t="s">
        <v>19</v>
      </c>
      <c r="H34" s="27" t="s">
        <v>219</v>
      </c>
      <c r="I34" s="25" t="s">
        <v>360</v>
      </c>
      <c r="J34" s="25" t="s">
        <v>308</v>
      </c>
      <c r="K34" s="30" t="s">
        <v>361</v>
      </c>
      <c r="L34" s="26" t="s">
        <v>22</v>
      </c>
      <c r="M34" s="29" t="s">
        <v>19</v>
      </c>
      <c r="N34" s="26" t="s">
        <v>23</v>
      </c>
      <c r="O34" s="31"/>
      <c r="P34" s="31"/>
      <c r="Q34" s="31"/>
      <c r="R34" s="31"/>
      <c r="S34" s="31"/>
      <c r="T34" s="31"/>
      <c r="U34" s="31"/>
      <c r="V34" s="31"/>
      <c r="W34" s="31"/>
      <c r="X34" s="31"/>
      <c r="Y34" s="31"/>
      <c r="Z34" s="31"/>
    </row>
    <row r="35">
      <c r="A35" s="25" t="s">
        <v>304</v>
      </c>
      <c r="B35" s="27" t="s">
        <v>357</v>
      </c>
      <c r="C35" s="27" t="s">
        <v>96</v>
      </c>
      <c r="D35" s="28" t="s">
        <v>363</v>
      </c>
      <c r="E35" s="29" t="s">
        <v>359</v>
      </c>
      <c r="F35" s="27" t="s">
        <v>231</v>
      </c>
      <c r="G35" s="27" t="s">
        <v>19</v>
      </c>
      <c r="H35" s="27" t="s">
        <v>310</v>
      </c>
      <c r="I35" s="25" t="s">
        <v>360</v>
      </c>
      <c r="J35" s="25" t="s">
        <v>308</v>
      </c>
      <c r="K35" s="30" t="s">
        <v>361</v>
      </c>
      <c r="L35" s="26" t="s">
        <v>22</v>
      </c>
      <c r="M35" s="29" t="s">
        <v>19</v>
      </c>
      <c r="N35" s="26" t="s">
        <v>23</v>
      </c>
      <c r="O35" s="31"/>
      <c r="P35" s="31"/>
      <c r="Q35" s="31"/>
      <c r="R35" s="31"/>
      <c r="S35" s="31"/>
      <c r="T35" s="31"/>
      <c r="U35" s="31"/>
      <c r="V35" s="31"/>
      <c r="W35" s="31"/>
      <c r="X35" s="31"/>
      <c r="Y35" s="31"/>
      <c r="Z35" s="31"/>
    </row>
    <row r="36">
      <c r="A36" s="25" t="s">
        <v>304</v>
      </c>
      <c r="B36" s="27" t="s">
        <v>357</v>
      </c>
      <c r="C36" s="27" t="s">
        <v>226</v>
      </c>
      <c r="D36" s="28" t="s">
        <v>358</v>
      </c>
      <c r="E36" s="29" t="s">
        <v>359</v>
      </c>
      <c r="F36" s="27" t="s">
        <v>228</v>
      </c>
      <c r="G36" s="27" t="s">
        <v>19</v>
      </c>
      <c r="H36" s="27" t="s">
        <v>227</v>
      </c>
      <c r="I36" s="25" t="s">
        <v>360</v>
      </c>
      <c r="J36" s="25" t="s">
        <v>308</v>
      </c>
      <c r="K36" s="30" t="s">
        <v>361</v>
      </c>
      <c r="L36" s="26" t="s">
        <v>22</v>
      </c>
      <c r="M36" s="29" t="s">
        <v>19</v>
      </c>
      <c r="N36" s="26" t="s">
        <v>23</v>
      </c>
      <c r="O36" s="31"/>
      <c r="P36" s="31"/>
      <c r="Q36" s="31"/>
      <c r="R36" s="31"/>
      <c r="S36" s="31"/>
      <c r="T36" s="31"/>
      <c r="U36" s="31"/>
      <c r="V36" s="31"/>
      <c r="W36" s="31"/>
      <c r="X36" s="31"/>
      <c r="Y36" s="31"/>
      <c r="Z36" s="31"/>
    </row>
    <row r="37">
      <c r="A37" s="25" t="s">
        <v>304</v>
      </c>
      <c r="B37" s="27" t="s">
        <v>357</v>
      </c>
      <c r="C37" s="27" t="s">
        <v>233</v>
      </c>
      <c r="D37" s="28" t="s">
        <v>364</v>
      </c>
      <c r="E37" s="29" t="s">
        <v>359</v>
      </c>
      <c r="F37" s="27" t="s">
        <v>365</v>
      </c>
      <c r="G37" s="27" t="s">
        <v>19</v>
      </c>
      <c r="H37" s="27" t="s">
        <v>366</v>
      </c>
      <c r="I37" s="25" t="s">
        <v>360</v>
      </c>
      <c r="J37" s="25" t="s">
        <v>308</v>
      </c>
      <c r="K37" s="30" t="s">
        <v>361</v>
      </c>
      <c r="L37" s="26" t="s">
        <v>22</v>
      </c>
      <c r="M37" s="29" t="s">
        <v>19</v>
      </c>
      <c r="N37" s="26" t="s">
        <v>23</v>
      </c>
      <c r="O37" s="31"/>
      <c r="P37" s="31"/>
      <c r="Q37" s="31"/>
      <c r="R37" s="31"/>
      <c r="S37" s="31"/>
      <c r="T37" s="31"/>
      <c r="U37" s="31"/>
      <c r="V37" s="31"/>
      <c r="W37" s="31"/>
      <c r="X37" s="31"/>
      <c r="Y37" s="31"/>
      <c r="Z37" s="31"/>
    </row>
    <row r="38">
      <c r="A38" s="25" t="s">
        <v>304</v>
      </c>
      <c r="B38" s="27" t="s">
        <v>357</v>
      </c>
      <c r="C38" s="27" t="s">
        <v>237</v>
      </c>
      <c r="D38" s="28" t="s">
        <v>367</v>
      </c>
      <c r="E38" s="29" t="s">
        <v>359</v>
      </c>
      <c r="F38" s="27" t="s">
        <v>239</v>
      </c>
      <c r="G38" s="27" t="s">
        <v>19</v>
      </c>
      <c r="H38" s="27" t="s">
        <v>368</v>
      </c>
      <c r="I38" s="25" t="s">
        <v>360</v>
      </c>
      <c r="J38" s="25" t="s">
        <v>308</v>
      </c>
      <c r="K38" s="30" t="s">
        <v>361</v>
      </c>
      <c r="L38" s="26" t="s">
        <v>22</v>
      </c>
      <c r="M38" s="29" t="s">
        <v>19</v>
      </c>
      <c r="N38" s="26" t="s">
        <v>23</v>
      </c>
      <c r="O38" s="31"/>
      <c r="P38" s="31"/>
      <c r="Q38" s="31"/>
      <c r="R38" s="31"/>
      <c r="S38" s="31"/>
      <c r="T38" s="31"/>
      <c r="U38" s="31"/>
      <c r="V38" s="31"/>
      <c r="W38" s="31"/>
      <c r="X38" s="31"/>
      <c r="Y38" s="31"/>
      <c r="Z38" s="31"/>
    </row>
    <row r="39">
      <c r="A39" s="25" t="s">
        <v>304</v>
      </c>
      <c r="B39" s="27" t="s">
        <v>357</v>
      </c>
      <c r="C39" s="27" t="s">
        <v>241</v>
      </c>
      <c r="D39" s="28" t="s">
        <v>369</v>
      </c>
      <c r="E39" s="29" t="s">
        <v>359</v>
      </c>
      <c r="F39" s="27" t="s">
        <v>243</v>
      </c>
      <c r="G39" s="27" t="s">
        <v>19</v>
      </c>
      <c r="H39" s="27" t="s">
        <v>370</v>
      </c>
      <c r="I39" s="25" t="s">
        <v>360</v>
      </c>
      <c r="J39" s="25" t="s">
        <v>308</v>
      </c>
      <c r="K39" s="30" t="s">
        <v>361</v>
      </c>
      <c r="L39" s="26" t="s">
        <v>22</v>
      </c>
      <c r="M39" s="29" t="s">
        <v>19</v>
      </c>
      <c r="N39" s="26" t="s">
        <v>23</v>
      </c>
      <c r="O39" s="31"/>
      <c r="P39" s="31"/>
      <c r="Q39" s="31"/>
      <c r="R39" s="31"/>
      <c r="S39" s="31"/>
      <c r="T39" s="31"/>
      <c r="U39" s="31"/>
      <c r="V39" s="31"/>
      <c r="W39" s="31"/>
      <c r="X39" s="31"/>
      <c r="Y39" s="31"/>
      <c r="Z39" s="31"/>
    </row>
    <row r="40">
      <c r="A40" s="25" t="s">
        <v>304</v>
      </c>
      <c r="B40" s="27" t="s">
        <v>357</v>
      </c>
      <c r="C40" s="27" t="s">
        <v>245</v>
      </c>
      <c r="D40" s="28" t="s">
        <v>364</v>
      </c>
      <c r="E40" s="29" t="s">
        <v>359</v>
      </c>
      <c r="F40" s="27" t="s">
        <v>371</v>
      </c>
      <c r="G40" s="27" t="s">
        <v>19</v>
      </c>
      <c r="H40" s="27" t="s">
        <v>246</v>
      </c>
      <c r="I40" s="25" t="s">
        <v>360</v>
      </c>
      <c r="J40" s="25" t="s">
        <v>308</v>
      </c>
      <c r="K40" s="30" t="s">
        <v>361</v>
      </c>
      <c r="L40" s="26" t="s">
        <v>22</v>
      </c>
      <c r="M40" s="29" t="s">
        <v>19</v>
      </c>
      <c r="N40" s="26" t="s">
        <v>23</v>
      </c>
      <c r="O40" s="31"/>
      <c r="P40" s="31"/>
      <c r="Q40" s="31"/>
      <c r="R40" s="31"/>
      <c r="S40" s="31"/>
      <c r="T40" s="31"/>
      <c r="U40" s="31"/>
      <c r="V40" s="31"/>
      <c r="W40" s="31"/>
      <c r="X40" s="31"/>
      <c r="Y40" s="31"/>
      <c r="Z40" s="31"/>
    </row>
    <row r="41">
      <c r="A41" s="25" t="s">
        <v>304</v>
      </c>
      <c r="B41" s="27" t="s">
        <v>357</v>
      </c>
      <c r="C41" s="27" t="s">
        <v>314</v>
      </c>
      <c r="D41" s="28" t="s">
        <v>372</v>
      </c>
      <c r="E41" s="29" t="s">
        <v>359</v>
      </c>
      <c r="F41" s="27" t="s">
        <v>316</v>
      </c>
      <c r="G41" s="27" t="s">
        <v>19</v>
      </c>
      <c r="H41" s="27" t="s">
        <v>373</v>
      </c>
      <c r="I41" s="25" t="s">
        <v>360</v>
      </c>
      <c r="J41" s="25" t="s">
        <v>308</v>
      </c>
      <c r="K41" s="30" t="s">
        <v>361</v>
      </c>
      <c r="L41" s="26" t="s">
        <v>22</v>
      </c>
      <c r="M41" s="29" t="s">
        <v>19</v>
      </c>
      <c r="N41" s="26" t="s">
        <v>23</v>
      </c>
      <c r="O41" s="31"/>
      <c r="P41" s="31"/>
      <c r="Q41" s="31"/>
      <c r="R41" s="31"/>
      <c r="S41" s="31"/>
      <c r="T41" s="31"/>
      <c r="U41" s="31"/>
      <c r="V41" s="31"/>
      <c r="W41" s="31"/>
      <c r="X41" s="31"/>
      <c r="Y41" s="31"/>
      <c r="Z41" s="31"/>
    </row>
    <row r="42">
      <c r="A42" s="25" t="s">
        <v>304</v>
      </c>
      <c r="B42" s="27" t="s">
        <v>357</v>
      </c>
      <c r="C42" s="27" t="s">
        <v>197</v>
      </c>
      <c r="D42" s="28" t="s">
        <v>374</v>
      </c>
      <c r="E42" s="29" t="s">
        <v>359</v>
      </c>
      <c r="F42" s="27" t="s">
        <v>223</v>
      </c>
      <c r="G42" s="27" t="s">
        <v>225</v>
      </c>
      <c r="H42" s="27" t="s">
        <v>222</v>
      </c>
      <c r="I42" s="25" t="s">
        <v>360</v>
      </c>
      <c r="J42" s="25" t="s">
        <v>308</v>
      </c>
      <c r="K42" s="30" t="s">
        <v>361</v>
      </c>
      <c r="L42" s="26" t="s">
        <v>22</v>
      </c>
      <c r="M42" s="29" t="s">
        <v>19</v>
      </c>
      <c r="N42" s="26" t="s">
        <v>23</v>
      </c>
      <c r="O42" s="31"/>
      <c r="P42" s="31"/>
      <c r="Q42" s="31"/>
      <c r="R42" s="31"/>
      <c r="S42" s="31"/>
      <c r="T42" s="31"/>
      <c r="U42" s="31"/>
      <c r="V42" s="31"/>
      <c r="W42" s="31"/>
      <c r="X42" s="31"/>
      <c r="Y42" s="31"/>
      <c r="Z42" s="31"/>
    </row>
    <row r="43">
      <c r="A43" s="25" t="s">
        <v>304</v>
      </c>
      <c r="B43" s="27" t="s">
        <v>357</v>
      </c>
      <c r="C43" s="27" t="s">
        <v>266</v>
      </c>
      <c r="D43" s="28" t="s">
        <v>375</v>
      </c>
      <c r="E43" s="29" t="s">
        <v>359</v>
      </c>
      <c r="F43" s="27" t="s">
        <v>268</v>
      </c>
      <c r="G43" s="27" t="s">
        <v>19</v>
      </c>
      <c r="H43" s="27" t="s">
        <v>267</v>
      </c>
      <c r="I43" s="25" t="s">
        <v>360</v>
      </c>
      <c r="J43" s="25" t="s">
        <v>308</v>
      </c>
      <c r="K43" s="30" t="s">
        <v>361</v>
      </c>
      <c r="L43" s="26" t="s">
        <v>22</v>
      </c>
      <c r="M43" s="29" t="s">
        <v>19</v>
      </c>
      <c r="N43" s="26" t="s">
        <v>23</v>
      </c>
      <c r="O43" s="31"/>
      <c r="P43" s="31"/>
      <c r="Q43" s="31"/>
      <c r="R43" s="31"/>
      <c r="S43" s="31"/>
      <c r="T43" s="31"/>
      <c r="U43" s="31"/>
      <c r="V43" s="31"/>
      <c r="W43" s="31"/>
      <c r="X43" s="31"/>
      <c r="Y43" s="31"/>
      <c r="Z43" s="31"/>
    </row>
    <row r="44">
      <c r="A44" s="25" t="s">
        <v>304</v>
      </c>
      <c r="B44" s="27" t="s">
        <v>357</v>
      </c>
      <c r="C44" s="27" t="s">
        <v>270</v>
      </c>
      <c r="D44" s="28" t="s">
        <v>376</v>
      </c>
      <c r="E44" s="29" t="s">
        <v>359</v>
      </c>
      <c r="F44" s="27" t="s">
        <v>272</v>
      </c>
      <c r="G44" s="27" t="s">
        <v>19</v>
      </c>
      <c r="H44" s="27" t="s">
        <v>327</v>
      </c>
      <c r="I44" s="25" t="s">
        <v>360</v>
      </c>
      <c r="J44" s="25" t="s">
        <v>308</v>
      </c>
      <c r="K44" s="30" t="s">
        <v>361</v>
      </c>
      <c r="L44" s="26" t="s">
        <v>22</v>
      </c>
      <c r="M44" s="29" t="s">
        <v>19</v>
      </c>
      <c r="N44" s="26" t="s">
        <v>23</v>
      </c>
      <c r="O44" s="31"/>
      <c r="P44" s="31"/>
      <c r="Q44" s="31"/>
      <c r="R44" s="31"/>
      <c r="S44" s="31"/>
      <c r="T44" s="31"/>
      <c r="U44" s="31"/>
      <c r="V44" s="31"/>
      <c r="W44" s="31"/>
      <c r="X44" s="31"/>
      <c r="Y44" s="31"/>
      <c r="Z44" s="31"/>
    </row>
    <row r="45">
      <c r="A45" s="25" t="s">
        <v>304</v>
      </c>
      <c r="B45" s="27" t="s">
        <v>357</v>
      </c>
      <c r="C45" s="27" t="s">
        <v>334</v>
      </c>
      <c r="D45" s="28" t="s">
        <v>375</v>
      </c>
      <c r="E45" s="29" t="s">
        <v>359</v>
      </c>
      <c r="F45" s="27" t="s">
        <v>335</v>
      </c>
      <c r="G45" s="27" t="s">
        <v>19</v>
      </c>
      <c r="H45" s="27" t="s">
        <v>336</v>
      </c>
      <c r="I45" s="25" t="s">
        <v>360</v>
      </c>
      <c r="J45" s="25" t="s">
        <v>308</v>
      </c>
      <c r="K45" s="30" t="s">
        <v>361</v>
      </c>
      <c r="L45" s="26" t="s">
        <v>22</v>
      </c>
      <c r="M45" s="29" t="s">
        <v>19</v>
      </c>
      <c r="N45" s="26" t="s">
        <v>23</v>
      </c>
      <c r="O45" s="31"/>
      <c r="P45" s="31"/>
      <c r="Q45" s="31"/>
      <c r="R45" s="31"/>
      <c r="S45" s="31"/>
      <c r="T45" s="31"/>
      <c r="U45" s="31"/>
      <c r="V45" s="31"/>
      <c r="W45" s="31"/>
      <c r="X45" s="31"/>
      <c r="Y45" s="31"/>
      <c r="Z45" s="31"/>
    </row>
    <row r="46">
      <c r="A46" s="25" t="s">
        <v>304</v>
      </c>
      <c r="B46" s="27" t="s">
        <v>357</v>
      </c>
      <c r="C46" s="27" t="s">
        <v>337</v>
      </c>
      <c r="D46" s="28" t="s">
        <v>377</v>
      </c>
      <c r="E46" s="29" t="s">
        <v>359</v>
      </c>
      <c r="F46" s="27" t="s">
        <v>339</v>
      </c>
      <c r="G46" s="27" t="s">
        <v>57</v>
      </c>
      <c r="H46" s="27" t="s">
        <v>340</v>
      </c>
      <c r="I46" s="25" t="s">
        <v>360</v>
      </c>
      <c r="J46" s="25" t="s">
        <v>308</v>
      </c>
      <c r="K46" s="30" t="s">
        <v>361</v>
      </c>
      <c r="L46" s="26" t="s">
        <v>22</v>
      </c>
      <c r="M46" s="29" t="s">
        <v>19</v>
      </c>
      <c r="N46" s="26" t="s">
        <v>23</v>
      </c>
      <c r="O46" s="31"/>
      <c r="P46" s="31"/>
      <c r="Q46" s="31"/>
      <c r="R46" s="31"/>
      <c r="S46" s="31"/>
      <c r="T46" s="31"/>
      <c r="U46" s="31"/>
      <c r="V46" s="31"/>
      <c r="W46" s="31"/>
      <c r="X46" s="31"/>
      <c r="Y46" s="31"/>
      <c r="Z46" s="31"/>
    </row>
    <row r="47">
      <c r="A47" s="25" t="s">
        <v>304</v>
      </c>
      <c r="B47" s="27" t="s">
        <v>357</v>
      </c>
      <c r="C47" s="27" t="s">
        <v>274</v>
      </c>
      <c r="D47" s="28" t="s">
        <v>378</v>
      </c>
      <c r="E47" s="29" t="s">
        <v>359</v>
      </c>
      <c r="F47" s="27" t="s">
        <v>276</v>
      </c>
      <c r="G47" s="27" t="s">
        <v>19</v>
      </c>
      <c r="H47" s="27" t="s">
        <v>332</v>
      </c>
      <c r="I47" s="25" t="s">
        <v>360</v>
      </c>
      <c r="J47" s="25" t="s">
        <v>308</v>
      </c>
      <c r="K47" s="30" t="s">
        <v>361</v>
      </c>
      <c r="L47" s="26" t="s">
        <v>22</v>
      </c>
      <c r="M47" s="29" t="s">
        <v>19</v>
      </c>
      <c r="N47" s="26" t="s">
        <v>23</v>
      </c>
      <c r="O47" s="31"/>
      <c r="P47" s="31"/>
      <c r="Q47" s="31"/>
      <c r="R47" s="31"/>
      <c r="S47" s="31"/>
      <c r="T47" s="31"/>
      <c r="U47" s="31"/>
      <c r="V47" s="31"/>
      <c r="W47" s="31"/>
      <c r="X47" s="31"/>
      <c r="Y47" s="31"/>
      <c r="Z47" s="31"/>
    </row>
    <row r="48">
      <c r="A48" s="25" t="s">
        <v>304</v>
      </c>
      <c r="B48" s="27" t="s">
        <v>357</v>
      </c>
      <c r="C48" s="27" t="s">
        <v>278</v>
      </c>
      <c r="D48" s="28" t="s">
        <v>379</v>
      </c>
      <c r="E48" s="29" t="s">
        <v>359</v>
      </c>
      <c r="F48" s="27" t="s">
        <v>280</v>
      </c>
      <c r="G48" s="27" t="s">
        <v>19</v>
      </c>
      <c r="H48" s="27" t="s">
        <v>380</v>
      </c>
      <c r="I48" s="25" t="s">
        <v>360</v>
      </c>
      <c r="J48" s="25" t="s">
        <v>308</v>
      </c>
      <c r="K48" s="30" t="s">
        <v>361</v>
      </c>
      <c r="L48" s="26" t="s">
        <v>22</v>
      </c>
      <c r="M48" s="29" t="s">
        <v>19</v>
      </c>
      <c r="N48" s="26" t="s">
        <v>23</v>
      </c>
      <c r="O48" s="31"/>
      <c r="P48" s="31"/>
      <c r="Q48" s="31"/>
      <c r="R48" s="31"/>
      <c r="S48" s="31"/>
      <c r="T48" s="31"/>
      <c r="U48" s="31"/>
      <c r="V48" s="31"/>
      <c r="W48" s="31"/>
      <c r="X48" s="31"/>
      <c r="Y48" s="31"/>
      <c r="Z48" s="31"/>
    </row>
    <row r="49">
      <c r="A49" s="25" t="s">
        <v>304</v>
      </c>
      <c r="B49" s="27" t="s">
        <v>357</v>
      </c>
      <c r="C49" s="27" t="s">
        <v>249</v>
      </c>
      <c r="D49" s="28" t="s">
        <v>381</v>
      </c>
      <c r="E49" s="29" t="s">
        <v>359</v>
      </c>
      <c r="F49" s="27" t="s">
        <v>251</v>
      </c>
      <c r="G49" s="27" t="s">
        <v>253</v>
      </c>
      <c r="H49" s="27" t="s">
        <v>382</v>
      </c>
      <c r="I49" s="25" t="s">
        <v>360</v>
      </c>
      <c r="J49" s="25" t="s">
        <v>308</v>
      </c>
      <c r="K49" s="30" t="s">
        <v>361</v>
      </c>
      <c r="L49" s="26" t="s">
        <v>22</v>
      </c>
      <c r="M49" s="29" t="s">
        <v>19</v>
      </c>
      <c r="N49" s="26" t="s">
        <v>23</v>
      </c>
      <c r="O49" s="31"/>
      <c r="P49" s="31"/>
      <c r="Q49" s="31"/>
      <c r="R49" s="31"/>
      <c r="S49" s="31"/>
      <c r="T49" s="31"/>
      <c r="U49" s="31"/>
      <c r="V49" s="31"/>
      <c r="W49" s="31"/>
      <c r="X49" s="31"/>
      <c r="Y49" s="31"/>
      <c r="Z49" s="31"/>
    </row>
    <row r="50">
      <c r="A50" s="25" t="s">
        <v>304</v>
      </c>
      <c r="B50" s="27" t="s">
        <v>357</v>
      </c>
      <c r="C50" s="27" t="s">
        <v>262</v>
      </c>
      <c r="D50" s="28" t="s">
        <v>383</v>
      </c>
      <c r="E50" s="29" t="s">
        <v>359</v>
      </c>
      <c r="F50" s="27" t="s">
        <v>264</v>
      </c>
      <c r="G50" s="27" t="s">
        <v>57</v>
      </c>
      <c r="H50" s="27" t="s">
        <v>263</v>
      </c>
      <c r="I50" s="25" t="s">
        <v>360</v>
      </c>
      <c r="J50" s="25" t="s">
        <v>308</v>
      </c>
      <c r="K50" s="30" t="s">
        <v>361</v>
      </c>
      <c r="L50" s="26" t="s">
        <v>22</v>
      </c>
      <c r="M50" s="29" t="s">
        <v>19</v>
      </c>
      <c r="N50" s="26" t="s">
        <v>23</v>
      </c>
      <c r="O50" s="31"/>
      <c r="P50" s="31"/>
      <c r="Q50" s="31"/>
      <c r="R50" s="31"/>
      <c r="S50" s="31"/>
      <c r="T50" s="31"/>
      <c r="U50" s="31"/>
      <c r="V50" s="31"/>
      <c r="W50" s="31"/>
      <c r="X50" s="31"/>
      <c r="Y50" s="31"/>
      <c r="Z50" s="31"/>
    </row>
    <row r="51">
      <c r="A51" s="25" t="s">
        <v>304</v>
      </c>
      <c r="B51" s="27" t="s">
        <v>357</v>
      </c>
      <c r="C51" s="27" t="s">
        <v>254</v>
      </c>
      <c r="D51" s="28" t="s">
        <v>158</v>
      </c>
      <c r="E51" s="29" t="s">
        <v>359</v>
      </c>
      <c r="F51" s="27" t="s">
        <v>256</v>
      </c>
      <c r="G51" s="27" t="s">
        <v>258</v>
      </c>
      <c r="H51" s="27" t="s">
        <v>319</v>
      </c>
      <c r="I51" s="25" t="s">
        <v>360</v>
      </c>
      <c r="J51" s="25" t="s">
        <v>308</v>
      </c>
      <c r="K51" s="30" t="s">
        <v>361</v>
      </c>
      <c r="L51" s="26" t="s">
        <v>22</v>
      </c>
      <c r="M51" s="29" t="s">
        <v>19</v>
      </c>
      <c r="N51" s="26" t="s">
        <v>23</v>
      </c>
      <c r="O51" s="31"/>
      <c r="P51" s="31"/>
      <c r="Q51" s="31"/>
      <c r="R51" s="31"/>
      <c r="S51" s="31"/>
      <c r="T51" s="31"/>
      <c r="U51" s="31"/>
      <c r="V51" s="31"/>
      <c r="W51" s="31"/>
      <c r="X51" s="31"/>
      <c r="Y51" s="31"/>
      <c r="Z51" s="31"/>
    </row>
    <row r="52">
      <c r="A52" s="25" t="s">
        <v>304</v>
      </c>
      <c r="B52" s="27" t="s">
        <v>357</v>
      </c>
      <c r="C52" s="27" t="s">
        <v>75</v>
      </c>
      <c r="D52" s="28" t="s">
        <v>384</v>
      </c>
      <c r="E52" s="29" t="s">
        <v>359</v>
      </c>
      <c r="F52" s="27" t="s">
        <v>321</v>
      </c>
      <c r="G52" s="27" t="s">
        <v>225</v>
      </c>
      <c r="H52" s="27" t="s">
        <v>322</v>
      </c>
      <c r="I52" s="25" t="s">
        <v>360</v>
      </c>
      <c r="J52" s="25" t="s">
        <v>308</v>
      </c>
      <c r="K52" s="30" t="s">
        <v>361</v>
      </c>
      <c r="L52" s="26" t="s">
        <v>22</v>
      </c>
      <c r="M52" s="29" t="s">
        <v>19</v>
      </c>
      <c r="N52" s="26" t="s">
        <v>23</v>
      </c>
      <c r="O52" s="31"/>
      <c r="P52" s="31"/>
      <c r="Q52" s="31"/>
      <c r="R52" s="31"/>
      <c r="S52" s="31"/>
      <c r="T52" s="31"/>
      <c r="U52" s="31"/>
      <c r="V52" s="31"/>
      <c r="W52" s="31"/>
      <c r="X52" s="31"/>
      <c r="Y52" s="31"/>
      <c r="Z52" s="31"/>
    </row>
    <row r="53">
      <c r="A53" s="25" t="s">
        <v>304</v>
      </c>
      <c r="B53" s="27" t="s">
        <v>357</v>
      </c>
      <c r="C53" s="27" t="s">
        <v>323</v>
      </c>
      <c r="D53" s="28" t="s">
        <v>385</v>
      </c>
      <c r="E53" s="29" t="s">
        <v>359</v>
      </c>
      <c r="F53" s="27" t="s">
        <v>325</v>
      </c>
      <c r="G53" s="27" t="s">
        <v>225</v>
      </c>
      <c r="H53" s="27" t="s">
        <v>326</v>
      </c>
      <c r="I53" s="25" t="s">
        <v>360</v>
      </c>
      <c r="J53" s="25" t="s">
        <v>308</v>
      </c>
      <c r="K53" s="30" t="s">
        <v>361</v>
      </c>
      <c r="L53" s="26" t="s">
        <v>22</v>
      </c>
      <c r="M53" s="29" t="s">
        <v>19</v>
      </c>
      <c r="N53" s="26" t="s">
        <v>23</v>
      </c>
      <c r="O53" s="31"/>
      <c r="P53" s="31"/>
      <c r="Q53" s="31"/>
      <c r="R53" s="31"/>
      <c r="S53" s="31"/>
      <c r="T53" s="31"/>
      <c r="U53" s="31"/>
      <c r="V53" s="31"/>
      <c r="W53" s="31"/>
      <c r="X53" s="31"/>
      <c r="Y53" s="31"/>
      <c r="Z53" s="31"/>
    </row>
    <row r="54">
      <c r="A54" s="25" t="s">
        <v>304</v>
      </c>
      <c r="B54" s="27" t="s">
        <v>357</v>
      </c>
      <c r="C54" s="27" t="s">
        <v>328</v>
      </c>
      <c r="D54" s="28" t="s">
        <v>386</v>
      </c>
      <c r="E54" s="29" t="s">
        <v>359</v>
      </c>
      <c r="F54" s="27" t="s">
        <v>330</v>
      </c>
      <c r="G54" s="27" t="s">
        <v>19</v>
      </c>
      <c r="H54" s="27" t="s">
        <v>331</v>
      </c>
      <c r="I54" s="25" t="s">
        <v>360</v>
      </c>
      <c r="J54" s="25" t="s">
        <v>308</v>
      </c>
      <c r="K54" s="30" t="s">
        <v>361</v>
      </c>
      <c r="L54" s="26" t="s">
        <v>22</v>
      </c>
      <c r="M54" s="29" t="s">
        <v>19</v>
      </c>
      <c r="N54" s="26" t="s">
        <v>23</v>
      </c>
      <c r="O54" s="31"/>
      <c r="P54" s="31"/>
      <c r="Q54" s="31"/>
      <c r="R54" s="31"/>
      <c r="S54" s="31"/>
      <c r="T54" s="31"/>
      <c r="U54" s="31"/>
      <c r="V54" s="31"/>
      <c r="W54" s="31"/>
      <c r="X54" s="31"/>
      <c r="Y54" s="31"/>
      <c r="Z54" s="31"/>
    </row>
    <row r="55">
      <c r="A55" s="25" t="s">
        <v>304</v>
      </c>
      <c r="B55" s="27" t="s">
        <v>357</v>
      </c>
      <c r="C55" s="27" t="s">
        <v>259</v>
      </c>
      <c r="D55" s="28" t="s">
        <v>377</v>
      </c>
      <c r="E55" s="29" t="s">
        <v>359</v>
      </c>
      <c r="F55" s="27" t="s">
        <v>261</v>
      </c>
      <c r="G55" s="27" t="s">
        <v>57</v>
      </c>
      <c r="H55" s="27" t="s">
        <v>260</v>
      </c>
      <c r="I55" s="25" t="s">
        <v>360</v>
      </c>
      <c r="J55" s="25" t="s">
        <v>308</v>
      </c>
      <c r="K55" s="30" t="s">
        <v>361</v>
      </c>
      <c r="L55" s="26" t="s">
        <v>22</v>
      </c>
      <c r="M55" s="29" t="s">
        <v>19</v>
      </c>
      <c r="N55" s="26" t="s">
        <v>23</v>
      </c>
      <c r="O55" s="31"/>
      <c r="P55" s="31"/>
      <c r="Q55" s="31"/>
      <c r="R55" s="31"/>
      <c r="S55" s="31"/>
      <c r="T55" s="31"/>
      <c r="U55" s="31"/>
      <c r="V55" s="31"/>
      <c r="W55" s="31"/>
      <c r="X55" s="31"/>
      <c r="Y55" s="31"/>
      <c r="Z55" s="31"/>
    </row>
    <row r="56">
      <c r="A56" s="25" t="s">
        <v>304</v>
      </c>
      <c r="B56" s="27" t="s">
        <v>357</v>
      </c>
      <c r="C56" s="27" t="s">
        <v>99</v>
      </c>
      <c r="D56" s="28" t="s">
        <v>387</v>
      </c>
      <c r="E56" s="29" t="s">
        <v>359</v>
      </c>
      <c r="F56" s="27" t="s">
        <v>283</v>
      </c>
      <c r="G56" s="27" t="s">
        <v>19</v>
      </c>
      <c r="H56" s="27" t="s">
        <v>282</v>
      </c>
      <c r="I56" s="25" t="s">
        <v>360</v>
      </c>
      <c r="J56" s="25" t="s">
        <v>308</v>
      </c>
      <c r="K56" s="30" t="s">
        <v>361</v>
      </c>
      <c r="L56" s="26" t="s">
        <v>22</v>
      </c>
      <c r="M56" s="29" t="s">
        <v>19</v>
      </c>
      <c r="N56" s="26" t="s">
        <v>23</v>
      </c>
      <c r="O56" s="31"/>
      <c r="P56" s="31"/>
      <c r="Q56" s="31"/>
      <c r="R56" s="31"/>
      <c r="S56" s="31"/>
      <c r="T56" s="31"/>
      <c r="U56" s="31"/>
      <c r="V56" s="31"/>
      <c r="W56" s="31"/>
      <c r="X56" s="31"/>
      <c r="Y56" s="31"/>
      <c r="Z56" s="31"/>
    </row>
    <row r="57">
      <c r="A57" s="25" t="s">
        <v>304</v>
      </c>
      <c r="B57" s="27" t="s">
        <v>357</v>
      </c>
      <c r="C57" s="27" t="s">
        <v>285</v>
      </c>
      <c r="D57" s="28" t="s">
        <v>388</v>
      </c>
      <c r="E57" s="29" t="s">
        <v>359</v>
      </c>
      <c r="F57" s="27" t="s">
        <v>287</v>
      </c>
      <c r="G57" s="27" t="s">
        <v>19</v>
      </c>
      <c r="H57" s="27" t="s">
        <v>341</v>
      </c>
      <c r="I57" s="25" t="s">
        <v>360</v>
      </c>
      <c r="J57" s="25" t="s">
        <v>308</v>
      </c>
      <c r="K57" s="30" t="s">
        <v>361</v>
      </c>
      <c r="L57" s="26" t="s">
        <v>22</v>
      </c>
      <c r="M57" s="29" t="s">
        <v>19</v>
      </c>
      <c r="N57" s="26" t="s">
        <v>23</v>
      </c>
      <c r="O57" s="31"/>
      <c r="P57" s="31"/>
      <c r="Q57" s="31"/>
      <c r="R57" s="31"/>
      <c r="S57" s="31"/>
      <c r="T57" s="31"/>
      <c r="U57" s="31"/>
      <c r="V57" s="31"/>
      <c r="W57" s="31"/>
      <c r="X57" s="31"/>
      <c r="Y57" s="31"/>
      <c r="Z57" s="31"/>
    </row>
    <row r="58">
      <c r="A58" s="25" t="s">
        <v>304</v>
      </c>
      <c r="B58" s="27" t="s">
        <v>357</v>
      </c>
      <c r="C58" s="27" t="s">
        <v>289</v>
      </c>
      <c r="D58" s="28" t="s">
        <v>363</v>
      </c>
      <c r="E58" s="29" t="s">
        <v>359</v>
      </c>
      <c r="F58" s="27" t="s">
        <v>291</v>
      </c>
      <c r="G58" s="27" t="s">
        <v>19</v>
      </c>
      <c r="H58" s="27" t="s">
        <v>342</v>
      </c>
      <c r="I58" s="25" t="s">
        <v>360</v>
      </c>
      <c r="J58" s="25" t="s">
        <v>308</v>
      </c>
      <c r="K58" s="30" t="s">
        <v>361</v>
      </c>
      <c r="L58" s="26" t="s">
        <v>22</v>
      </c>
      <c r="M58" s="29" t="s">
        <v>19</v>
      </c>
      <c r="N58" s="26" t="s">
        <v>23</v>
      </c>
      <c r="O58" s="31"/>
      <c r="P58" s="31"/>
      <c r="Q58" s="31"/>
      <c r="R58" s="31"/>
      <c r="S58" s="31"/>
      <c r="T58" s="31"/>
      <c r="U58" s="31"/>
      <c r="V58" s="31"/>
      <c r="W58" s="31"/>
      <c r="X58" s="31"/>
      <c r="Y58" s="31"/>
      <c r="Z58" s="31"/>
    </row>
    <row r="59">
      <c r="A59" s="25" t="s">
        <v>304</v>
      </c>
      <c r="B59" s="27" t="s">
        <v>357</v>
      </c>
      <c r="C59" s="27" t="s">
        <v>343</v>
      </c>
      <c r="D59" s="28" t="s">
        <v>389</v>
      </c>
      <c r="E59" s="29" t="s">
        <v>359</v>
      </c>
      <c r="F59" s="27" t="s">
        <v>345</v>
      </c>
      <c r="G59" s="27" t="s">
        <v>19</v>
      </c>
      <c r="H59" s="27" t="s">
        <v>346</v>
      </c>
      <c r="I59" s="25" t="s">
        <v>360</v>
      </c>
      <c r="J59" s="25" t="s">
        <v>308</v>
      </c>
      <c r="K59" s="30" t="s">
        <v>361</v>
      </c>
      <c r="L59" s="26" t="s">
        <v>22</v>
      </c>
      <c r="M59" s="29" t="s">
        <v>19</v>
      </c>
      <c r="N59" s="26" t="s">
        <v>23</v>
      </c>
      <c r="O59" s="31"/>
      <c r="P59" s="31"/>
      <c r="Q59" s="31"/>
      <c r="R59" s="31"/>
      <c r="S59" s="31"/>
      <c r="T59" s="31"/>
      <c r="U59" s="31"/>
      <c r="V59" s="31"/>
      <c r="W59" s="31"/>
      <c r="X59" s="31"/>
      <c r="Y59" s="31"/>
      <c r="Z59" s="31"/>
    </row>
    <row r="60">
      <c r="A60" s="25" t="s">
        <v>304</v>
      </c>
      <c r="B60" s="27" t="s">
        <v>357</v>
      </c>
      <c r="C60" s="27" t="s">
        <v>292</v>
      </c>
      <c r="D60" s="28" t="s">
        <v>390</v>
      </c>
      <c r="E60" s="29" t="s">
        <v>359</v>
      </c>
      <c r="F60" s="27" t="s">
        <v>294</v>
      </c>
      <c r="G60" s="27" t="s">
        <v>19</v>
      </c>
      <c r="H60" s="27" t="s">
        <v>348</v>
      </c>
      <c r="I60" s="25" t="s">
        <v>360</v>
      </c>
      <c r="J60" s="25" t="s">
        <v>308</v>
      </c>
      <c r="K60" s="30" t="s">
        <v>361</v>
      </c>
      <c r="L60" s="26" t="s">
        <v>22</v>
      </c>
      <c r="M60" s="29" t="s">
        <v>19</v>
      </c>
      <c r="N60" s="26" t="s">
        <v>23</v>
      </c>
      <c r="O60" s="31"/>
      <c r="P60" s="31"/>
      <c r="Q60" s="31"/>
      <c r="R60" s="31"/>
      <c r="S60" s="31"/>
      <c r="T60" s="31"/>
      <c r="U60" s="31"/>
      <c r="V60" s="31"/>
      <c r="W60" s="31"/>
      <c r="X60" s="31"/>
      <c r="Y60" s="31"/>
      <c r="Z60" s="31"/>
    </row>
    <row r="61">
      <c r="A61" s="25" t="s">
        <v>304</v>
      </c>
      <c r="B61" s="27" t="s">
        <v>357</v>
      </c>
      <c r="C61" s="27" t="s">
        <v>105</v>
      </c>
      <c r="D61" s="28" t="s">
        <v>391</v>
      </c>
      <c r="E61" s="29" t="s">
        <v>359</v>
      </c>
      <c r="F61" s="27" t="s">
        <v>297</v>
      </c>
      <c r="G61" s="27" t="s">
        <v>19</v>
      </c>
      <c r="H61" s="27" t="s">
        <v>349</v>
      </c>
      <c r="I61" s="25" t="s">
        <v>360</v>
      </c>
      <c r="J61" s="25" t="s">
        <v>308</v>
      </c>
      <c r="K61" s="30" t="s">
        <v>361</v>
      </c>
      <c r="L61" s="26" t="s">
        <v>22</v>
      </c>
      <c r="M61" s="29" t="s">
        <v>19</v>
      </c>
      <c r="N61" s="26" t="s">
        <v>23</v>
      </c>
      <c r="O61" s="31"/>
      <c r="P61" s="31"/>
      <c r="Q61" s="31"/>
      <c r="R61" s="31"/>
      <c r="S61" s="31"/>
      <c r="T61" s="31"/>
      <c r="U61" s="31"/>
      <c r="V61" s="31"/>
      <c r="W61" s="31"/>
      <c r="X61" s="31"/>
      <c r="Y61" s="31"/>
      <c r="Z61" s="31"/>
    </row>
    <row r="62">
      <c r="A62" s="25" t="s">
        <v>304</v>
      </c>
      <c r="B62" s="27" t="s">
        <v>357</v>
      </c>
      <c r="C62" s="27" t="s">
        <v>350</v>
      </c>
      <c r="D62" s="28" t="s">
        <v>375</v>
      </c>
      <c r="E62" s="29" t="s">
        <v>359</v>
      </c>
      <c r="F62" s="27" t="s">
        <v>351</v>
      </c>
      <c r="G62" s="27" t="s">
        <v>19</v>
      </c>
      <c r="H62" s="27" t="s">
        <v>352</v>
      </c>
      <c r="I62" s="25" t="s">
        <v>360</v>
      </c>
      <c r="J62" s="25" t="s">
        <v>308</v>
      </c>
      <c r="K62" s="30" t="s">
        <v>361</v>
      </c>
      <c r="L62" s="26" t="s">
        <v>22</v>
      </c>
      <c r="M62" s="29" t="s">
        <v>19</v>
      </c>
      <c r="N62" s="26" t="s">
        <v>23</v>
      </c>
      <c r="O62" s="31"/>
      <c r="P62" s="31"/>
      <c r="Q62" s="31"/>
      <c r="R62" s="31"/>
      <c r="S62" s="31"/>
      <c r="T62" s="31"/>
      <c r="U62" s="31"/>
      <c r="V62" s="31"/>
      <c r="W62" s="31"/>
      <c r="X62" s="31"/>
      <c r="Y62" s="31"/>
      <c r="Z62" s="31"/>
    </row>
    <row r="63">
      <c r="A63" s="25" t="s">
        <v>304</v>
      </c>
      <c r="B63" s="27" t="s">
        <v>357</v>
      </c>
      <c r="C63" s="27" t="s">
        <v>353</v>
      </c>
      <c r="D63" s="28" t="s">
        <v>392</v>
      </c>
      <c r="E63" s="29" t="s">
        <v>359</v>
      </c>
      <c r="F63" s="27" t="s">
        <v>355</v>
      </c>
      <c r="G63" s="27" t="s">
        <v>19</v>
      </c>
      <c r="H63" s="27" t="s">
        <v>393</v>
      </c>
      <c r="I63" s="25" t="s">
        <v>360</v>
      </c>
      <c r="J63" s="25" t="s">
        <v>308</v>
      </c>
      <c r="K63" s="30" t="s">
        <v>361</v>
      </c>
      <c r="L63" s="26" t="s">
        <v>22</v>
      </c>
      <c r="M63" s="29" t="s">
        <v>19</v>
      </c>
      <c r="N63" s="26" t="s">
        <v>23</v>
      </c>
      <c r="O63" s="31"/>
      <c r="P63" s="31"/>
      <c r="Q63" s="31"/>
      <c r="R63" s="31"/>
      <c r="S63" s="31"/>
      <c r="T63" s="31"/>
      <c r="U63" s="31"/>
      <c r="V63" s="31"/>
      <c r="W63" s="31"/>
      <c r="X63" s="31"/>
      <c r="Y63" s="31"/>
      <c r="Z63" s="31"/>
    </row>
    <row r="64">
      <c r="A64" s="25" t="s">
        <v>304</v>
      </c>
      <c r="B64" s="26" t="s">
        <v>394</v>
      </c>
      <c r="C64" s="27" t="s">
        <v>226</v>
      </c>
      <c r="D64" s="31" t="s">
        <v>358</v>
      </c>
      <c r="E64" s="29" t="s">
        <v>395</v>
      </c>
      <c r="F64" s="27" t="s">
        <v>228</v>
      </c>
      <c r="G64" s="29" t="s">
        <v>19</v>
      </c>
      <c r="H64" s="27" t="s">
        <v>227</v>
      </c>
      <c r="I64" s="25" t="s">
        <v>396</v>
      </c>
      <c r="J64" s="25" t="s">
        <v>397</v>
      </c>
      <c r="K64" s="32" t="s">
        <v>394</v>
      </c>
      <c r="L64" s="26" t="s">
        <v>22</v>
      </c>
      <c r="M64" s="29" t="s">
        <v>19</v>
      </c>
      <c r="N64" s="26" t="s">
        <v>23</v>
      </c>
      <c r="O64" s="31"/>
      <c r="P64" s="31"/>
      <c r="Q64" s="31"/>
      <c r="R64" s="31"/>
      <c r="S64" s="31"/>
      <c r="T64" s="31"/>
      <c r="U64" s="31"/>
      <c r="V64" s="31"/>
      <c r="W64" s="31"/>
      <c r="X64" s="31"/>
      <c r="Y64" s="31"/>
      <c r="Z64" s="31"/>
    </row>
    <row r="65">
      <c r="A65" s="25" t="s">
        <v>304</v>
      </c>
      <c r="B65" s="26" t="s">
        <v>394</v>
      </c>
      <c r="C65" s="27" t="s">
        <v>213</v>
      </c>
      <c r="D65" s="31" t="s">
        <v>358</v>
      </c>
      <c r="E65" s="29" t="s">
        <v>395</v>
      </c>
      <c r="F65" s="27" t="s">
        <v>215</v>
      </c>
      <c r="G65" s="29" t="s">
        <v>19</v>
      </c>
      <c r="H65" s="27" t="s">
        <v>214</v>
      </c>
      <c r="I65" s="25" t="s">
        <v>396</v>
      </c>
      <c r="J65" s="25" t="s">
        <v>397</v>
      </c>
      <c r="K65" s="32" t="s">
        <v>394</v>
      </c>
      <c r="L65" s="26" t="s">
        <v>22</v>
      </c>
      <c r="M65" s="29" t="s">
        <v>19</v>
      </c>
      <c r="N65" s="26" t="s">
        <v>23</v>
      </c>
      <c r="O65" s="31"/>
      <c r="P65" s="31"/>
      <c r="Q65" s="31"/>
      <c r="R65" s="31"/>
      <c r="S65" s="31"/>
      <c r="T65" s="31"/>
      <c r="U65" s="31"/>
      <c r="V65" s="31"/>
      <c r="W65" s="31"/>
      <c r="X65" s="31"/>
      <c r="Y65" s="31"/>
      <c r="Z65" s="31"/>
    </row>
    <row r="66">
      <c r="A66" s="25" t="s">
        <v>304</v>
      </c>
      <c r="B66" s="26" t="s">
        <v>394</v>
      </c>
      <c r="C66" s="27" t="s">
        <v>66</v>
      </c>
      <c r="D66" s="31" t="s">
        <v>358</v>
      </c>
      <c r="E66" s="29" t="s">
        <v>395</v>
      </c>
      <c r="F66" s="27" t="s">
        <v>220</v>
      </c>
      <c r="G66" s="29" t="s">
        <v>19</v>
      </c>
      <c r="H66" s="27" t="s">
        <v>219</v>
      </c>
      <c r="I66" s="25" t="s">
        <v>396</v>
      </c>
      <c r="J66" s="25" t="s">
        <v>397</v>
      </c>
      <c r="K66" s="32" t="s">
        <v>394</v>
      </c>
      <c r="L66" s="26" t="s">
        <v>22</v>
      </c>
      <c r="M66" s="29" t="s">
        <v>19</v>
      </c>
      <c r="N66" s="26" t="s">
        <v>23</v>
      </c>
      <c r="O66" s="31"/>
      <c r="P66" s="31"/>
      <c r="Q66" s="31"/>
      <c r="R66" s="31"/>
      <c r="S66" s="31"/>
      <c r="T66" s="31"/>
      <c r="U66" s="31"/>
      <c r="V66" s="31"/>
      <c r="W66" s="31"/>
      <c r="X66" s="31"/>
      <c r="Y66" s="31"/>
      <c r="Z66" s="31"/>
    </row>
    <row r="67">
      <c r="A67" s="25" t="s">
        <v>304</v>
      </c>
      <c r="B67" s="26" t="s">
        <v>394</v>
      </c>
      <c r="C67" s="27" t="s">
        <v>237</v>
      </c>
      <c r="D67" s="31" t="s">
        <v>358</v>
      </c>
      <c r="E67" s="29" t="s">
        <v>395</v>
      </c>
      <c r="F67" s="27" t="s">
        <v>239</v>
      </c>
      <c r="G67" s="29" t="s">
        <v>19</v>
      </c>
      <c r="H67" s="27" t="s">
        <v>398</v>
      </c>
      <c r="I67" s="25" t="s">
        <v>396</v>
      </c>
      <c r="J67" s="25" t="s">
        <v>397</v>
      </c>
      <c r="K67" s="32" t="s">
        <v>394</v>
      </c>
      <c r="L67" s="26" t="s">
        <v>22</v>
      </c>
      <c r="M67" s="29" t="s">
        <v>19</v>
      </c>
      <c r="N67" s="26" t="s">
        <v>23</v>
      </c>
      <c r="O67" s="31"/>
      <c r="P67" s="31"/>
      <c r="Q67" s="31"/>
      <c r="R67" s="31"/>
      <c r="S67" s="31"/>
      <c r="T67" s="31"/>
      <c r="U67" s="31"/>
      <c r="V67" s="31"/>
      <c r="W67" s="31"/>
      <c r="X67" s="31"/>
      <c r="Y67" s="31"/>
      <c r="Z67" s="31"/>
    </row>
    <row r="68">
      <c r="A68" s="25" t="s">
        <v>304</v>
      </c>
      <c r="B68" s="26" t="s">
        <v>394</v>
      </c>
      <c r="C68" s="27" t="s">
        <v>241</v>
      </c>
      <c r="D68" s="31" t="s">
        <v>358</v>
      </c>
      <c r="E68" s="29" t="s">
        <v>395</v>
      </c>
      <c r="F68" s="27" t="s">
        <v>243</v>
      </c>
      <c r="G68" s="29" t="s">
        <v>19</v>
      </c>
      <c r="H68" s="27" t="s">
        <v>399</v>
      </c>
      <c r="I68" s="25" t="s">
        <v>396</v>
      </c>
      <c r="J68" s="25" t="s">
        <v>397</v>
      </c>
      <c r="K68" s="32" t="s">
        <v>394</v>
      </c>
      <c r="L68" s="26" t="s">
        <v>22</v>
      </c>
      <c r="M68" s="29" t="s">
        <v>19</v>
      </c>
      <c r="N68" s="26" t="s">
        <v>23</v>
      </c>
      <c r="O68" s="31"/>
      <c r="P68" s="31"/>
      <c r="Q68" s="31"/>
      <c r="R68" s="31"/>
      <c r="S68" s="31"/>
      <c r="T68" s="31"/>
      <c r="U68" s="31"/>
      <c r="V68" s="31"/>
      <c r="W68" s="31"/>
      <c r="X68" s="31"/>
      <c r="Y68" s="31"/>
      <c r="Z68" s="31"/>
    </row>
    <row r="69">
      <c r="A69" s="25" t="s">
        <v>304</v>
      </c>
      <c r="B69" s="26" t="s">
        <v>394</v>
      </c>
      <c r="C69" s="27" t="s">
        <v>245</v>
      </c>
      <c r="D69" s="31" t="s">
        <v>358</v>
      </c>
      <c r="E69" s="29" t="s">
        <v>395</v>
      </c>
      <c r="F69" s="27" t="s">
        <v>371</v>
      </c>
      <c r="G69" s="29" t="s">
        <v>19</v>
      </c>
      <c r="H69" s="27" t="s">
        <v>246</v>
      </c>
      <c r="I69" s="25" t="s">
        <v>396</v>
      </c>
      <c r="J69" s="25" t="s">
        <v>397</v>
      </c>
      <c r="K69" s="32" t="s">
        <v>394</v>
      </c>
      <c r="L69" s="26" t="s">
        <v>22</v>
      </c>
      <c r="M69" s="29" t="s">
        <v>19</v>
      </c>
      <c r="N69" s="26" t="s">
        <v>23</v>
      </c>
      <c r="O69" s="31"/>
      <c r="P69" s="31"/>
      <c r="Q69" s="31"/>
      <c r="R69" s="31"/>
      <c r="S69" s="31"/>
      <c r="T69" s="31"/>
      <c r="U69" s="31"/>
      <c r="V69" s="31"/>
      <c r="W69" s="31"/>
      <c r="X69" s="31"/>
      <c r="Y69" s="31"/>
      <c r="Z69" s="31"/>
    </row>
    <row r="70">
      <c r="A70" s="25" t="s">
        <v>304</v>
      </c>
      <c r="B70" s="26" t="s">
        <v>394</v>
      </c>
      <c r="C70" s="27" t="s">
        <v>314</v>
      </c>
      <c r="D70" s="31" t="s">
        <v>358</v>
      </c>
      <c r="E70" s="29" t="s">
        <v>395</v>
      </c>
      <c r="F70" s="27" t="s">
        <v>316</v>
      </c>
      <c r="G70" s="29" t="s">
        <v>19</v>
      </c>
      <c r="H70" s="27" t="s">
        <v>373</v>
      </c>
      <c r="I70" s="25" t="s">
        <v>396</v>
      </c>
      <c r="J70" s="25" t="s">
        <v>397</v>
      </c>
      <c r="K70" s="32" t="s">
        <v>394</v>
      </c>
      <c r="L70" s="26" t="s">
        <v>22</v>
      </c>
      <c r="M70" s="29" t="s">
        <v>19</v>
      </c>
      <c r="N70" s="26" t="s">
        <v>23</v>
      </c>
      <c r="O70" s="31"/>
      <c r="P70" s="31"/>
      <c r="Q70" s="31"/>
      <c r="R70" s="31"/>
      <c r="S70" s="31"/>
      <c r="T70" s="31"/>
      <c r="U70" s="31"/>
      <c r="V70" s="31"/>
      <c r="W70" s="31"/>
      <c r="X70" s="31"/>
      <c r="Y70" s="31"/>
      <c r="Z70" s="31"/>
    </row>
    <row r="71">
      <c r="A71" s="25" t="s">
        <v>304</v>
      </c>
      <c r="B71" s="26" t="s">
        <v>394</v>
      </c>
      <c r="C71" s="27" t="s">
        <v>96</v>
      </c>
      <c r="D71" s="31" t="s">
        <v>358</v>
      </c>
      <c r="E71" s="29" t="s">
        <v>395</v>
      </c>
      <c r="F71" s="27" t="s">
        <v>231</v>
      </c>
      <c r="G71" s="29" t="s">
        <v>19</v>
      </c>
      <c r="H71" s="27" t="s">
        <v>310</v>
      </c>
      <c r="I71" s="25" t="s">
        <v>396</v>
      </c>
      <c r="J71" s="25" t="s">
        <v>397</v>
      </c>
      <c r="K71" s="32" t="s">
        <v>394</v>
      </c>
      <c r="L71" s="26" t="s">
        <v>22</v>
      </c>
      <c r="M71" s="29" t="s">
        <v>19</v>
      </c>
      <c r="N71" s="26" t="s">
        <v>23</v>
      </c>
      <c r="O71" s="31"/>
      <c r="P71" s="31"/>
      <c r="Q71" s="31"/>
      <c r="R71" s="31"/>
      <c r="S71" s="31"/>
      <c r="T71" s="31"/>
      <c r="U71" s="31"/>
      <c r="V71" s="31"/>
      <c r="W71" s="31"/>
      <c r="X71" s="31"/>
      <c r="Y71" s="31"/>
      <c r="Z71" s="31"/>
    </row>
    <row r="72">
      <c r="A72" s="25" t="s">
        <v>304</v>
      </c>
      <c r="B72" s="26" t="s">
        <v>394</v>
      </c>
      <c r="C72" s="27" t="s">
        <v>233</v>
      </c>
      <c r="D72" s="31" t="s">
        <v>358</v>
      </c>
      <c r="E72" s="29" t="s">
        <v>395</v>
      </c>
      <c r="F72" s="27" t="s">
        <v>365</v>
      </c>
      <c r="G72" s="29" t="s">
        <v>19</v>
      </c>
      <c r="H72" s="27" t="s">
        <v>400</v>
      </c>
      <c r="I72" s="25" t="s">
        <v>396</v>
      </c>
      <c r="J72" s="25" t="s">
        <v>397</v>
      </c>
      <c r="K72" s="32" t="s">
        <v>394</v>
      </c>
      <c r="L72" s="26" t="s">
        <v>22</v>
      </c>
      <c r="M72" s="29" t="s">
        <v>19</v>
      </c>
      <c r="N72" s="26" t="s">
        <v>23</v>
      </c>
      <c r="O72" s="31"/>
      <c r="P72" s="31"/>
      <c r="Q72" s="31"/>
      <c r="R72" s="31"/>
      <c r="S72" s="31"/>
      <c r="T72" s="31"/>
      <c r="U72" s="31"/>
      <c r="V72" s="31"/>
      <c r="W72" s="31"/>
      <c r="X72" s="31"/>
      <c r="Y72" s="31"/>
      <c r="Z72" s="31"/>
    </row>
    <row r="73">
      <c r="A73" s="25" t="s">
        <v>304</v>
      </c>
      <c r="B73" s="26" t="s">
        <v>394</v>
      </c>
      <c r="C73" s="27" t="s">
        <v>197</v>
      </c>
      <c r="D73" s="31" t="s">
        <v>401</v>
      </c>
      <c r="E73" s="29" t="s">
        <v>395</v>
      </c>
      <c r="F73" s="27" t="s">
        <v>223</v>
      </c>
      <c r="G73" s="29" t="s">
        <v>225</v>
      </c>
      <c r="H73" s="27" t="s">
        <v>222</v>
      </c>
      <c r="I73" s="25" t="s">
        <v>396</v>
      </c>
      <c r="J73" s="25" t="s">
        <v>397</v>
      </c>
      <c r="K73" s="32" t="s">
        <v>394</v>
      </c>
      <c r="L73" s="26" t="s">
        <v>22</v>
      </c>
      <c r="M73" s="29" t="s">
        <v>19</v>
      </c>
      <c r="N73" s="26" t="s">
        <v>23</v>
      </c>
      <c r="O73" s="31"/>
      <c r="P73" s="31"/>
      <c r="Q73" s="31"/>
      <c r="R73" s="31"/>
      <c r="S73" s="31"/>
      <c r="T73" s="31"/>
      <c r="U73" s="31"/>
      <c r="V73" s="31"/>
      <c r="W73" s="31"/>
      <c r="X73" s="31"/>
      <c r="Y73" s="31"/>
      <c r="Z73" s="31"/>
    </row>
    <row r="74">
      <c r="A74" s="25" t="s">
        <v>304</v>
      </c>
      <c r="B74" s="26" t="s">
        <v>394</v>
      </c>
      <c r="C74" s="27" t="s">
        <v>266</v>
      </c>
      <c r="D74" s="31" t="s">
        <v>358</v>
      </c>
      <c r="E74" s="29" t="s">
        <v>395</v>
      </c>
      <c r="F74" s="27" t="s">
        <v>268</v>
      </c>
      <c r="G74" s="29" t="s">
        <v>19</v>
      </c>
      <c r="H74" s="27" t="s">
        <v>267</v>
      </c>
      <c r="I74" s="25" t="s">
        <v>396</v>
      </c>
      <c r="J74" s="25" t="s">
        <v>397</v>
      </c>
      <c r="K74" s="32" t="s">
        <v>394</v>
      </c>
      <c r="L74" s="26" t="s">
        <v>22</v>
      </c>
      <c r="M74" s="29" t="s">
        <v>19</v>
      </c>
      <c r="N74" s="26" t="s">
        <v>23</v>
      </c>
      <c r="O74" s="31"/>
      <c r="P74" s="31"/>
      <c r="Q74" s="31"/>
      <c r="R74" s="31"/>
      <c r="S74" s="31"/>
      <c r="T74" s="31"/>
      <c r="U74" s="31"/>
      <c r="V74" s="31"/>
      <c r="W74" s="31"/>
      <c r="X74" s="31"/>
      <c r="Y74" s="31"/>
      <c r="Z74" s="31"/>
    </row>
    <row r="75">
      <c r="A75" s="25" t="s">
        <v>304</v>
      </c>
      <c r="B75" s="26" t="s">
        <v>394</v>
      </c>
      <c r="C75" s="27" t="s">
        <v>270</v>
      </c>
      <c r="D75" s="31" t="s">
        <v>358</v>
      </c>
      <c r="E75" s="29" t="s">
        <v>395</v>
      </c>
      <c r="F75" s="27" t="s">
        <v>272</v>
      </c>
      <c r="G75" s="29" t="s">
        <v>19</v>
      </c>
      <c r="H75" s="27" t="s">
        <v>327</v>
      </c>
      <c r="I75" s="25" t="s">
        <v>396</v>
      </c>
      <c r="J75" s="25" t="s">
        <v>397</v>
      </c>
      <c r="K75" s="32" t="s">
        <v>394</v>
      </c>
      <c r="L75" s="26" t="s">
        <v>22</v>
      </c>
      <c r="M75" s="29" t="s">
        <v>19</v>
      </c>
      <c r="N75" s="26" t="s">
        <v>23</v>
      </c>
      <c r="O75" s="31"/>
      <c r="P75" s="31"/>
      <c r="Q75" s="31"/>
      <c r="R75" s="31"/>
      <c r="S75" s="31"/>
      <c r="T75" s="31"/>
      <c r="U75" s="31"/>
      <c r="V75" s="31"/>
      <c r="W75" s="31"/>
      <c r="X75" s="31"/>
      <c r="Y75" s="31"/>
      <c r="Z75" s="31"/>
    </row>
    <row r="76">
      <c r="A76" s="25" t="s">
        <v>304</v>
      </c>
      <c r="B76" s="26" t="s">
        <v>394</v>
      </c>
      <c r="C76" s="27" t="s">
        <v>334</v>
      </c>
      <c r="D76" s="31" t="s">
        <v>358</v>
      </c>
      <c r="E76" s="29" t="s">
        <v>395</v>
      </c>
      <c r="F76" s="27" t="s">
        <v>335</v>
      </c>
      <c r="G76" s="29" t="s">
        <v>19</v>
      </c>
      <c r="H76" s="27" t="s">
        <v>336</v>
      </c>
      <c r="I76" s="25" t="s">
        <v>396</v>
      </c>
      <c r="J76" s="25" t="s">
        <v>397</v>
      </c>
      <c r="K76" s="32" t="s">
        <v>394</v>
      </c>
      <c r="L76" s="26" t="s">
        <v>22</v>
      </c>
      <c r="M76" s="29" t="s">
        <v>19</v>
      </c>
      <c r="N76" s="26" t="s">
        <v>23</v>
      </c>
      <c r="O76" s="31"/>
      <c r="P76" s="31"/>
      <c r="Q76" s="31"/>
      <c r="R76" s="31"/>
      <c r="S76" s="31"/>
      <c r="T76" s="31"/>
      <c r="U76" s="31"/>
      <c r="V76" s="31"/>
      <c r="W76" s="31"/>
      <c r="X76" s="31"/>
      <c r="Y76" s="31"/>
      <c r="Z76" s="31"/>
    </row>
    <row r="77">
      <c r="A77" s="25" t="s">
        <v>304</v>
      </c>
      <c r="B77" s="26" t="s">
        <v>394</v>
      </c>
      <c r="C77" s="27" t="s">
        <v>274</v>
      </c>
      <c r="D77" s="31" t="s">
        <v>358</v>
      </c>
      <c r="E77" s="29" t="s">
        <v>395</v>
      </c>
      <c r="F77" s="27" t="s">
        <v>276</v>
      </c>
      <c r="G77" s="29" t="s">
        <v>19</v>
      </c>
      <c r="H77" s="27" t="s">
        <v>332</v>
      </c>
      <c r="I77" s="25" t="s">
        <v>396</v>
      </c>
      <c r="J77" s="25" t="s">
        <v>397</v>
      </c>
      <c r="K77" s="32" t="s">
        <v>394</v>
      </c>
      <c r="L77" s="26" t="s">
        <v>22</v>
      </c>
      <c r="M77" s="29" t="s">
        <v>19</v>
      </c>
      <c r="N77" s="26" t="s">
        <v>23</v>
      </c>
      <c r="O77" s="31"/>
      <c r="P77" s="31"/>
      <c r="Q77" s="31"/>
      <c r="R77" s="31"/>
      <c r="S77" s="31"/>
      <c r="T77" s="31"/>
      <c r="U77" s="31"/>
      <c r="V77" s="31"/>
      <c r="W77" s="31"/>
      <c r="X77" s="31"/>
      <c r="Y77" s="31"/>
      <c r="Z77" s="31"/>
    </row>
    <row r="78">
      <c r="A78" s="25" t="s">
        <v>304</v>
      </c>
      <c r="B78" s="26" t="s">
        <v>394</v>
      </c>
      <c r="C78" s="27" t="s">
        <v>99</v>
      </c>
      <c r="D78" s="31" t="s">
        <v>358</v>
      </c>
      <c r="E78" s="29" t="s">
        <v>395</v>
      </c>
      <c r="F78" s="27" t="s">
        <v>283</v>
      </c>
      <c r="G78" s="29" t="s">
        <v>19</v>
      </c>
      <c r="H78" s="27" t="s">
        <v>402</v>
      </c>
      <c r="I78" s="25" t="s">
        <v>396</v>
      </c>
      <c r="J78" s="25" t="s">
        <v>397</v>
      </c>
      <c r="K78" s="32" t="s">
        <v>394</v>
      </c>
      <c r="L78" s="26" t="s">
        <v>22</v>
      </c>
      <c r="M78" s="29" t="s">
        <v>19</v>
      </c>
      <c r="N78" s="26" t="s">
        <v>23</v>
      </c>
      <c r="O78" s="31"/>
      <c r="P78" s="31"/>
      <c r="Q78" s="31"/>
      <c r="R78" s="31"/>
      <c r="S78" s="31"/>
      <c r="T78" s="31"/>
      <c r="U78" s="31"/>
      <c r="V78" s="31"/>
      <c r="W78" s="31"/>
      <c r="X78" s="31"/>
      <c r="Y78" s="31"/>
      <c r="Z78" s="31"/>
    </row>
    <row r="79">
      <c r="A79" s="25" t="s">
        <v>304</v>
      </c>
      <c r="B79" s="26" t="s">
        <v>394</v>
      </c>
      <c r="C79" s="27" t="s">
        <v>285</v>
      </c>
      <c r="D79" s="31" t="s">
        <v>358</v>
      </c>
      <c r="E79" s="29" t="s">
        <v>395</v>
      </c>
      <c r="F79" s="27" t="s">
        <v>287</v>
      </c>
      <c r="G79" s="29" t="s">
        <v>19</v>
      </c>
      <c r="H79" s="27" t="s">
        <v>341</v>
      </c>
      <c r="I79" s="25" t="s">
        <v>396</v>
      </c>
      <c r="J79" s="25" t="s">
        <v>397</v>
      </c>
      <c r="K79" s="32" t="s">
        <v>394</v>
      </c>
      <c r="L79" s="26" t="s">
        <v>22</v>
      </c>
      <c r="M79" s="29" t="s">
        <v>19</v>
      </c>
      <c r="N79" s="26" t="s">
        <v>23</v>
      </c>
      <c r="O79" s="31"/>
      <c r="P79" s="31"/>
      <c r="Q79" s="31"/>
      <c r="R79" s="31"/>
      <c r="S79" s="31"/>
      <c r="T79" s="31"/>
      <c r="U79" s="31"/>
      <c r="V79" s="31"/>
      <c r="W79" s="31"/>
      <c r="X79" s="31"/>
      <c r="Y79" s="31"/>
      <c r="Z79" s="31"/>
    </row>
    <row r="80">
      <c r="A80" s="25" t="s">
        <v>304</v>
      </c>
      <c r="B80" s="26" t="s">
        <v>394</v>
      </c>
      <c r="C80" s="27" t="s">
        <v>337</v>
      </c>
      <c r="D80" s="31" t="s">
        <v>377</v>
      </c>
      <c r="E80" s="29" t="s">
        <v>395</v>
      </c>
      <c r="F80" s="27" t="s">
        <v>339</v>
      </c>
      <c r="G80" s="29" t="s">
        <v>57</v>
      </c>
      <c r="H80" s="27" t="s">
        <v>340</v>
      </c>
      <c r="I80" s="25" t="s">
        <v>396</v>
      </c>
      <c r="J80" s="25" t="s">
        <v>397</v>
      </c>
      <c r="K80" s="32" t="s">
        <v>394</v>
      </c>
      <c r="L80" s="26" t="s">
        <v>22</v>
      </c>
      <c r="M80" s="29" t="s">
        <v>19</v>
      </c>
      <c r="N80" s="26" t="s">
        <v>23</v>
      </c>
      <c r="O80" s="31"/>
      <c r="P80" s="31"/>
      <c r="Q80" s="31"/>
      <c r="R80" s="31"/>
      <c r="S80" s="31"/>
      <c r="T80" s="31"/>
      <c r="U80" s="31"/>
      <c r="V80" s="31"/>
      <c r="W80" s="31"/>
      <c r="X80" s="31"/>
      <c r="Y80" s="31"/>
      <c r="Z80" s="31"/>
    </row>
    <row r="81">
      <c r="A81" s="25" t="s">
        <v>304</v>
      </c>
      <c r="B81" s="26" t="s">
        <v>394</v>
      </c>
      <c r="C81" s="27" t="s">
        <v>289</v>
      </c>
      <c r="D81" s="31" t="s">
        <v>358</v>
      </c>
      <c r="E81" s="29" t="s">
        <v>395</v>
      </c>
      <c r="F81" s="27" t="s">
        <v>291</v>
      </c>
      <c r="G81" s="29" t="s">
        <v>19</v>
      </c>
      <c r="H81" s="27" t="s">
        <v>342</v>
      </c>
      <c r="I81" s="25" t="s">
        <v>396</v>
      </c>
      <c r="J81" s="25" t="s">
        <v>397</v>
      </c>
      <c r="K81" s="32" t="s">
        <v>394</v>
      </c>
      <c r="L81" s="26" t="s">
        <v>22</v>
      </c>
      <c r="M81" s="29" t="s">
        <v>19</v>
      </c>
      <c r="N81" s="26" t="s">
        <v>23</v>
      </c>
      <c r="O81" s="31"/>
      <c r="P81" s="31"/>
      <c r="Q81" s="31"/>
      <c r="R81" s="31"/>
      <c r="S81" s="31"/>
      <c r="T81" s="31"/>
      <c r="U81" s="31"/>
      <c r="V81" s="31"/>
      <c r="W81" s="31"/>
      <c r="X81" s="31"/>
      <c r="Y81" s="31"/>
      <c r="Z81" s="31"/>
    </row>
    <row r="82">
      <c r="A82" s="25" t="s">
        <v>304</v>
      </c>
      <c r="B82" s="26" t="s">
        <v>394</v>
      </c>
      <c r="C82" s="27" t="s">
        <v>343</v>
      </c>
      <c r="D82" s="31" t="s">
        <v>358</v>
      </c>
      <c r="E82" s="29" t="s">
        <v>395</v>
      </c>
      <c r="F82" s="27" t="s">
        <v>345</v>
      </c>
      <c r="G82" s="29" t="s">
        <v>19</v>
      </c>
      <c r="H82" s="27" t="s">
        <v>346</v>
      </c>
      <c r="I82" s="25" t="s">
        <v>396</v>
      </c>
      <c r="J82" s="25" t="s">
        <v>397</v>
      </c>
      <c r="K82" s="32" t="s">
        <v>394</v>
      </c>
      <c r="L82" s="26" t="s">
        <v>22</v>
      </c>
      <c r="M82" s="29" t="s">
        <v>19</v>
      </c>
      <c r="N82" s="26" t="s">
        <v>23</v>
      </c>
      <c r="O82" s="31"/>
      <c r="P82" s="31"/>
      <c r="Q82" s="31"/>
      <c r="R82" s="31"/>
      <c r="S82" s="31"/>
      <c r="T82" s="31"/>
      <c r="U82" s="31"/>
      <c r="V82" s="31"/>
      <c r="W82" s="31"/>
      <c r="X82" s="31"/>
      <c r="Y82" s="31"/>
      <c r="Z82" s="31"/>
    </row>
    <row r="83">
      <c r="A83" s="25" t="s">
        <v>304</v>
      </c>
      <c r="B83" s="26" t="s">
        <v>394</v>
      </c>
      <c r="C83" s="27" t="s">
        <v>292</v>
      </c>
      <c r="D83" s="31" t="s">
        <v>358</v>
      </c>
      <c r="E83" s="29" t="s">
        <v>395</v>
      </c>
      <c r="F83" s="27" t="s">
        <v>294</v>
      </c>
      <c r="G83" s="29" t="s">
        <v>19</v>
      </c>
      <c r="H83" s="27" t="s">
        <v>348</v>
      </c>
      <c r="I83" s="25" t="s">
        <v>396</v>
      </c>
      <c r="J83" s="25" t="s">
        <v>397</v>
      </c>
      <c r="K83" s="32" t="s">
        <v>394</v>
      </c>
      <c r="L83" s="26" t="s">
        <v>22</v>
      </c>
      <c r="M83" s="29" t="s">
        <v>19</v>
      </c>
      <c r="N83" s="26" t="s">
        <v>23</v>
      </c>
      <c r="O83" s="31"/>
      <c r="P83" s="31"/>
      <c r="Q83" s="31"/>
      <c r="R83" s="31"/>
      <c r="S83" s="31"/>
      <c r="T83" s="31"/>
      <c r="U83" s="31"/>
      <c r="V83" s="31"/>
      <c r="W83" s="31"/>
      <c r="X83" s="31"/>
      <c r="Y83" s="31"/>
      <c r="Z83" s="31"/>
    </row>
    <row r="84">
      <c r="A84" s="25" t="s">
        <v>304</v>
      </c>
      <c r="B84" s="26" t="s">
        <v>394</v>
      </c>
      <c r="C84" s="27" t="s">
        <v>105</v>
      </c>
      <c r="D84" s="31" t="s">
        <v>358</v>
      </c>
      <c r="E84" s="29" t="s">
        <v>395</v>
      </c>
      <c r="F84" s="27" t="s">
        <v>297</v>
      </c>
      <c r="G84" s="29" t="s">
        <v>19</v>
      </c>
      <c r="H84" s="27" t="s">
        <v>349</v>
      </c>
      <c r="I84" s="25" t="s">
        <v>396</v>
      </c>
      <c r="J84" s="25" t="s">
        <v>397</v>
      </c>
      <c r="K84" s="32" t="s">
        <v>394</v>
      </c>
      <c r="L84" s="26" t="s">
        <v>22</v>
      </c>
      <c r="M84" s="29" t="s">
        <v>19</v>
      </c>
      <c r="N84" s="26" t="s">
        <v>23</v>
      </c>
      <c r="O84" s="31"/>
      <c r="P84" s="31"/>
      <c r="Q84" s="31"/>
      <c r="R84" s="31"/>
      <c r="S84" s="31"/>
      <c r="T84" s="31"/>
      <c r="U84" s="31"/>
      <c r="V84" s="31"/>
      <c r="W84" s="31"/>
      <c r="X84" s="31"/>
      <c r="Y84" s="31"/>
      <c r="Z84" s="31"/>
    </row>
    <row r="85">
      <c r="A85" s="25" t="s">
        <v>304</v>
      </c>
      <c r="B85" s="26" t="s">
        <v>394</v>
      </c>
      <c r="C85" s="27" t="s">
        <v>350</v>
      </c>
      <c r="D85" s="31" t="s">
        <v>358</v>
      </c>
      <c r="E85" s="29" t="s">
        <v>395</v>
      </c>
      <c r="F85" s="27" t="s">
        <v>351</v>
      </c>
      <c r="G85" s="29" t="s">
        <v>19</v>
      </c>
      <c r="H85" s="27" t="s">
        <v>352</v>
      </c>
      <c r="I85" s="25" t="s">
        <v>396</v>
      </c>
      <c r="J85" s="25" t="s">
        <v>397</v>
      </c>
      <c r="K85" s="32" t="s">
        <v>394</v>
      </c>
      <c r="L85" s="26" t="s">
        <v>22</v>
      </c>
      <c r="M85" s="29" t="s">
        <v>19</v>
      </c>
      <c r="N85" s="26" t="s">
        <v>23</v>
      </c>
      <c r="O85" s="31"/>
      <c r="P85" s="31"/>
      <c r="Q85" s="31"/>
      <c r="R85" s="31"/>
      <c r="S85" s="31"/>
      <c r="T85" s="31"/>
      <c r="U85" s="31"/>
      <c r="V85" s="31"/>
      <c r="W85" s="31"/>
      <c r="X85" s="31"/>
      <c r="Y85" s="31"/>
      <c r="Z85" s="31"/>
    </row>
    <row r="86">
      <c r="A86" s="25" t="s">
        <v>304</v>
      </c>
      <c r="B86" s="26" t="s">
        <v>394</v>
      </c>
      <c r="C86" s="27" t="s">
        <v>353</v>
      </c>
      <c r="D86" s="31" t="s">
        <v>358</v>
      </c>
      <c r="E86" s="29" t="s">
        <v>395</v>
      </c>
      <c r="F86" s="27" t="s">
        <v>355</v>
      </c>
      <c r="G86" s="29" t="s">
        <v>19</v>
      </c>
      <c r="H86" s="27" t="s">
        <v>393</v>
      </c>
      <c r="I86" s="25" t="s">
        <v>396</v>
      </c>
      <c r="J86" s="25" t="s">
        <v>397</v>
      </c>
      <c r="K86" s="32" t="s">
        <v>394</v>
      </c>
      <c r="L86" s="26" t="s">
        <v>22</v>
      </c>
      <c r="M86" s="29" t="s">
        <v>19</v>
      </c>
      <c r="N86" s="26" t="s">
        <v>23</v>
      </c>
      <c r="O86" s="31"/>
      <c r="P86" s="31"/>
      <c r="Q86" s="31"/>
      <c r="R86" s="31"/>
      <c r="S86" s="31"/>
      <c r="T86" s="31"/>
      <c r="U86" s="31"/>
      <c r="V86" s="31"/>
      <c r="W86" s="31"/>
      <c r="X86" s="31"/>
      <c r="Y86" s="31"/>
      <c r="Z86" s="31"/>
    </row>
    <row r="87">
      <c r="A87" s="25" t="s">
        <v>304</v>
      </c>
      <c r="B87" s="26" t="s">
        <v>403</v>
      </c>
      <c r="C87" s="27" t="s">
        <v>226</v>
      </c>
      <c r="D87" s="31" t="s">
        <v>358</v>
      </c>
      <c r="E87" s="29" t="s">
        <v>404</v>
      </c>
      <c r="F87" s="27" t="s">
        <v>228</v>
      </c>
      <c r="G87" s="27" t="s">
        <v>19</v>
      </c>
      <c r="H87" s="27" t="s">
        <v>227</v>
      </c>
      <c r="I87" s="27" t="s">
        <v>405</v>
      </c>
      <c r="J87" s="25" t="s">
        <v>397</v>
      </c>
      <c r="K87" s="30" t="s">
        <v>406</v>
      </c>
      <c r="L87" s="26" t="s">
        <v>22</v>
      </c>
      <c r="M87" s="29" t="s">
        <v>19</v>
      </c>
      <c r="N87" s="26" t="s">
        <v>23</v>
      </c>
      <c r="O87" s="31"/>
      <c r="P87" s="31"/>
      <c r="Q87" s="31"/>
      <c r="R87" s="31"/>
      <c r="S87" s="31"/>
      <c r="T87" s="31"/>
      <c r="U87" s="31"/>
      <c r="V87" s="31"/>
      <c r="W87" s="31"/>
      <c r="X87" s="31"/>
      <c r="Y87" s="31"/>
      <c r="Z87" s="31"/>
    </row>
    <row r="88">
      <c r="A88" s="25" t="s">
        <v>304</v>
      </c>
      <c r="B88" s="26" t="s">
        <v>403</v>
      </c>
      <c r="C88" s="27" t="s">
        <v>213</v>
      </c>
      <c r="D88" s="31" t="s">
        <v>358</v>
      </c>
      <c r="E88" s="29" t="s">
        <v>404</v>
      </c>
      <c r="F88" s="27" t="s">
        <v>215</v>
      </c>
      <c r="G88" s="27" t="s">
        <v>19</v>
      </c>
      <c r="H88" s="27" t="s">
        <v>214</v>
      </c>
      <c r="I88" s="27" t="s">
        <v>405</v>
      </c>
      <c r="J88" s="25" t="s">
        <v>397</v>
      </c>
      <c r="K88" s="30" t="s">
        <v>406</v>
      </c>
      <c r="L88" s="26" t="s">
        <v>22</v>
      </c>
      <c r="M88" s="29" t="s">
        <v>19</v>
      </c>
      <c r="N88" s="26" t="s">
        <v>23</v>
      </c>
      <c r="O88" s="31"/>
      <c r="P88" s="31"/>
      <c r="Q88" s="31"/>
      <c r="R88" s="31"/>
      <c r="S88" s="31"/>
      <c r="T88" s="31"/>
      <c r="U88" s="31"/>
      <c r="V88" s="31"/>
      <c r="W88" s="31"/>
      <c r="X88" s="31"/>
      <c r="Y88" s="31"/>
      <c r="Z88" s="31"/>
    </row>
    <row r="89">
      <c r="A89" s="25" t="s">
        <v>304</v>
      </c>
      <c r="B89" s="26" t="s">
        <v>403</v>
      </c>
      <c r="C89" s="27" t="s">
        <v>66</v>
      </c>
      <c r="D89" s="31" t="s">
        <v>358</v>
      </c>
      <c r="E89" s="29" t="s">
        <v>404</v>
      </c>
      <c r="F89" s="27" t="s">
        <v>220</v>
      </c>
      <c r="G89" s="27" t="s">
        <v>19</v>
      </c>
      <c r="H89" s="27" t="s">
        <v>219</v>
      </c>
      <c r="I89" s="27" t="s">
        <v>405</v>
      </c>
      <c r="J89" s="25" t="s">
        <v>397</v>
      </c>
      <c r="K89" s="30" t="s">
        <v>406</v>
      </c>
      <c r="L89" s="26" t="s">
        <v>22</v>
      </c>
      <c r="M89" s="29" t="s">
        <v>19</v>
      </c>
      <c r="N89" s="26" t="s">
        <v>23</v>
      </c>
      <c r="O89" s="31"/>
      <c r="P89" s="31"/>
      <c r="Q89" s="31"/>
      <c r="R89" s="31"/>
      <c r="S89" s="31"/>
      <c r="T89" s="31"/>
      <c r="U89" s="31"/>
      <c r="V89" s="31"/>
      <c r="W89" s="31"/>
      <c r="X89" s="31"/>
      <c r="Y89" s="31"/>
      <c r="Z89" s="31"/>
    </row>
    <row r="90">
      <c r="A90" s="25" t="s">
        <v>304</v>
      </c>
      <c r="B90" s="26" t="s">
        <v>403</v>
      </c>
      <c r="C90" s="27" t="s">
        <v>197</v>
      </c>
      <c r="D90" s="33" t="s">
        <v>401</v>
      </c>
      <c r="E90" s="29" t="s">
        <v>404</v>
      </c>
      <c r="F90" s="27" t="s">
        <v>223</v>
      </c>
      <c r="G90" s="27" t="s">
        <v>225</v>
      </c>
      <c r="H90" s="27" t="s">
        <v>222</v>
      </c>
      <c r="I90" s="27" t="s">
        <v>405</v>
      </c>
      <c r="J90" s="25" t="s">
        <v>397</v>
      </c>
      <c r="K90" s="30" t="s">
        <v>406</v>
      </c>
      <c r="L90" s="26" t="s">
        <v>22</v>
      </c>
      <c r="M90" s="29" t="s">
        <v>19</v>
      </c>
      <c r="N90" s="26" t="s">
        <v>23</v>
      </c>
      <c r="O90" s="31"/>
      <c r="P90" s="31"/>
      <c r="Q90" s="31"/>
      <c r="R90" s="31"/>
      <c r="S90" s="31"/>
      <c r="T90" s="31"/>
      <c r="U90" s="31"/>
      <c r="V90" s="31"/>
      <c r="W90" s="31"/>
      <c r="X90" s="31"/>
      <c r="Y90" s="31"/>
      <c r="Z90" s="31"/>
    </row>
    <row r="91">
      <c r="A91" s="25" t="s">
        <v>304</v>
      </c>
      <c r="B91" s="26" t="s">
        <v>403</v>
      </c>
      <c r="C91" s="27" t="s">
        <v>96</v>
      </c>
      <c r="D91" s="33" t="s">
        <v>358</v>
      </c>
      <c r="E91" s="29" t="s">
        <v>404</v>
      </c>
      <c r="F91" s="27" t="s">
        <v>231</v>
      </c>
      <c r="G91" s="27" t="s">
        <v>19</v>
      </c>
      <c r="H91" s="27" t="s">
        <v>310</v>
      </c>
      <c r="I91" s="27" t="s">
        <v>405</v>
      </c>
      <c r="J91" s="25" t="s">
        <v>397</v>
      </c>
      <c r="K91" s="30" t="s">
        <v>406</v>
      </c>
      <c r="L91" s="26" t="s">
        <v>22</v>
      </c>
      <c r="M91" s="29" t="s">
        <v>19</v>
      </c>
      <c r="N91" s="26" t="s">
        <v>23</v>
      </c>
      <c r="O91" s="31"/>
      <c r="P91" s="31"/>
      <c r="Q91" s="31"/>
      <c r="R91" s="31"/>
      <c r="S91" s="31"/>
      <c r="T91" s="31"/>
      <c r="U91" s="31"/>
      <c r="V91" s="31"/>
      <c r="W91" s="31"/>
      <c r="X91" s="31"/>
      <c r="Y91" s="31"/>
      <c r="Z91" s="31"/>
    </row>
    <row r="92">
      <c r="A92" s="25" t="s">
        <v>304</v>
      </c>
      <c r="B92" s="26" t="s">
        <v>403</v>
      </c>
      <c r="C92" s="27" t="s">
        <v>233</v>
      </c>
      <c r="D92" s="33" t="s">
        <v>358</v>
      </c>
      <c r="E92" s="29" t="s">
        <v>404</v>
      </c>
      <c r="F92" s="27" t="s">
        <v>365</v>
      </c>
      <c r="G92" s="27" t="s">
        <v>19</v>
      </c>
      <c r="H92" s="27" t="s">
        <v>400</v>
      </c>
      <c r="I92" s="27" t="s">
        <v>405</v>
      </c>
      <c r="J92" s="25" t="s">
        <v>397</v>
      </c>
      <c r="K92" s="30" t="s">
        <v>406</v>
      </c>
      <c r="L92" s="26" t="s">
        <v>22</v>
      </c>
      <c r="M92" s="29" t="s">
        <v>19</v>
      </c>
      <c r="N92" s="26" t="s">
        <v>23</v>
      </c>
      <c r="O92" s="31"/>
      <c r="P92" s="31"/>
      <c r="Q92" s="31"/>
      <c r="R92" s="31"/>
      <c r="S92" s="31"/>
      <c r="T92" s="31"/>
      <c r="U92" s="31"/>
      <c r="V92" s="31"/>
      <c r="W92" s="31"/>
      <c r="X92" s="31"/>
      <c r="Y92" s="31"/>
      <c r="Z92" s="31"/>
    </row>
    <row r="93">
      <c r="A93" s="25" t="s">
        <v>304</v>
      </c>
      <c r="B93" s="26" t="s">
        <v>403</v>
      </c>
      <c r="C93" s="27" t="s">
        <v>237</v>
      </c>
      <c r="D93" s="33" t="s">
        <v>358</v>
      </c>
      <c r="E93" s="29" t="s">
        <v>404</v>
      </c>
      <c r="F93" s="27" t="s">
        <v>239</v>
      </c>
      <c r="G93" s="27" t="s">
        <v>19</v>
      </c>
      <c r="H93" s="27" t="s">
        <v>398</v>
      </c>
      <c r="I93" s="27" t="s">
        <v>405</v>
      </c>
      <c r="J93" s="25" t="s">
        <v>397</v>
      </c>
      <c r="K93" s="30" t="s">
        <v>406</v>
      </c>
      <c r="L93" s="26" t="s">
        <v>22</v>
      </c>
      <c r="M93" s="29" t="s">
        <v>19</v>
      </c>
      <c r="N93" s="26" t="s">
        <v>23</v>
      </c>
      <c r="O93" s="31"/>
      <c r="P93" s="31"/>
      <c r="Q93" s="31"/>
      <c r="R93" s="31"/>
      <c r="S93" s="31"/>
      <c r="T93" s="31"/>
      <c r="U93" s="31"/>
      <c r="V93" s="31"/>
      <c r="W93" s="31"/>
      <c r="X93" s="31"/>
      <c r="Y93" s="31"/>
      <c r="Z93" s="31"/>
    </row>
    <row r="94">
      <c r="A94" s="25" t="s">
        <v>304</v>
      </c>
      <c r="B94" s="26" t="s">
        <v>403</v>
      </c>
      <c r="C94" s="27" t="s">
        <v>241</v>
      </c>
      <c r="D94" s="33" t="s">
        <v>358</v>
      </c>
      <c r="E94" s="29" t="s">
        <v>404</v>
      </c>
      <c r="F94" s="27" t="s">
        <v>243</v>
      </c>
      <c r="G94" s="27" t="s">
        <v>19</v>
      </c>
      <c r="H94" s="27" t="s">
        <v>407</v>
      </c>
      <c r="I94" s="27" t="s">
        <v>405</v>
      </c>
      <c r="J94" s="25" t="s">
        <v>397</v>
      </c>
      <c r="K94" s="30" t="s">
        <v>406</v>
      </c>
      <c r="L94" s="26" t="s">
        <v>22</v>
      </c>
      <c r="M94" s="29" t="s">
        <v>19</v>
      </c>
      <c r="N94" s="26" t="s">
        <v>23</v>
      </c>
      <c r="O94" s="31"/>
      <c r="P94" s="31"/>
      <c r="Q94" s="31"/>
      <c r="R94" s="31"/>
      <c r="S94" s="31"/>
      <c r="T94" s="31"/>
      <c r="U94" s="31"/>
      <c r="V94" s="31"/>
      <c r="W94" s="31"/>
      <c r="X94" s="31"/>
      <c r="Y94" s="31"/>
      <c r="Z94" s="31"/>
    </row>
    <row r="95">
      <c r="A95" s="25" t="s">
        <v>304</v>
      </c>
      <c r="B95" s="26" t="s">
        <v>403</v>
      </c>
      <c r="C95" s="27" t="s">
        <v>245</v>
      </c>
      <c r="D95" s="33" t="s">
        <v>358</v>
      </c>
      <c r="E95" s="29" t="s">
        <v>404</v>
      </c>
      <c r="F95" s="27" t="s">
        <v>371</v>
      </c>
      <c r="G95" s="27" t="s">
        <v>19</v>
      </c>
      <c r="H95" s="27" t="s">
        <v>246</v>
      </c>
      <c r="I95" s="27" t="s">
        <v>405</v>
      </c>
      <c r="J95" s="25" t="s">
        <v>397</v>
      </c>
      <c r="K95" s="30" t="s">
        <v>406</v>
      </c>
      <c r="L95" s="26" t="s">
        <v>22</v>
      </c>
      <c r="M95" s="29" t="s">
        <v>19</v>
      </c>
      <c r="N95" s="26" t="s">
        <v>23</v>
      </c>
      <c r="O95" s="31"/>
      <c r="P95" s="31"/>
      <c r="Q95" s="31"/>
      <c r="R95" s="31"/>
      <c r="S95" s="31"/>
      <c r="T95" s="31"/>
      <c r="U95" s="31"/>
      <c r="V95" s="31"/>
      <c r="W95" s="31"/>
      <c r="X95" s="31"/>
      <c r="Y95" s="31"/>
      <c r="Z95" s="31"/>
    </row>
    <row r="96">
      <c r="A96" s="25" t="s">
        <v>304</v>
      </c>
      <c r="B96" s="26" t="s">
        <v>403</v>
      </c>
      <c r="C96" s="27" t="s">
        <v>314</v>
      </c>
      <c r="D96" s="33" t="s">
        <v>358</v>
      </c>
      <c r="E96" s="29" t="s">
        <v>404</v>
      </c>
      <c r="F96" s="27" t="s">
        <v>316</v>
      </c>
      <c r="G96" s="27" t="s">
        <v>19</v>
      </c>
      <c r="H96" s="27" t="s">
        <v>373</v>
      </c>
      <c r="I96" s="27" t="s">
        <v>405</v>
      </c>
      <c r="J96" s="25" t="s">
        <v>397</v>
      </c>
      <c r="K96" s="30" t="s">
        <v>406</v>
      </c>
      <c r="L96" s="26" t="s">
        <v>22</v>
      </c>
      <c r="M96" s="29" t="s">
        <v>19</v>
      </c>
      <c r="N96" s="26" t="s">
        <v>23</v>
      </c>
      <c r="O96" s="31"/>
      <c r="P96" s="31"/>
      <c r="Q96" s="31"/>
      <c r="R96" s="31"/>
      <c r="S96" s="31"/>
      <c r="T96" s="31"/>
      <c r="U96" s="31"/>
      <c r="V96" s="31"/>
      <c r="W96" s="31"/>
      <c r="X96" s="31"/>
      <c r="Y96" s="31"/>
      <c r="Z96" s="31"/>
    </row>
    <row r="97">
      <c r="A97" s="25" t="s">
        <v>304</v>
      </c>
      <c r="B97" s="26" t="s">
        <v>403</v>
      </c>
      <c r="C97" s="27" t="s">
        <v>249</v>
      </c>
      <c r="D97" s="33" t="s">
        <v>401</v>
      </c>
      <c r="E97" s="29" t="s">
        <v>404</v>
      </c>
      <c r="F97" s="27" t="s">
        <v>251</v>
      </c>
      <c r="G97" s="27" t="s">
        <v>253</v>
      </c>
      <c r="H97" s="27" t="s">
        <v>382</v>
      </c>
      <c r="I97" s="27" t="s">
        <v>405</v>
      </c>
      <c r="J97" s="25" t="s">
        <v>397</v>
      </c>
      <c r="K97" s="30" t="s">
        <v>406</v>
      </c>
      <c r="L97" s="26" t="s">
        <v>22</v>
      </c>
      <c r="M97" s="29" t="s">
        <v>19</v>
      </c>
      <c r="N97" s="26" t="s">
        <v>23</v>
      </c>
      <c r="O97" s="31"/>
      <c r="P97" s="31"/>
      <c r="Q97" s="31"/>
      <c r="R97" s="31"/>
      <c r="S97" s="31"/>
      <c r="T97" s="31"/>
      <c r="U97" s="31"/>
      <c r="V97" s="31"/>
      <c r="W97" s="31"/>
      <c r="X97" s="31"/>
      <c r="Y97" s="31"/>
      <c r="Z97" s="31"/>
    </row>
    <row r="98">
      <c r="A98" s="25" t="s">
        <v>304</v>
      </c>
      <c r="B98" s="26" t="s">
        <v>403</v>
      </c>
      <c r="C98" s="27" t="s">
        <v>254</v>
      </c>
      <c r="D98" s="33" t="s">
        <v>401</v>
      </c>
      <c r="E98" s="29" t="s">
        <v>404</v>
      </c>
      <c r="F98" s="27" t="s">
        <v>256</v>
      </c>
      <c r="G98" s="27" t="s">
        <v>258</v>
      </c>
      <c r="H98" s="27" t="s">
        <v>255</v>
      </c>
      <c r="I98" s="27" t="s">
        <v>405</v>
      </c>
      <c r="J98" s="25" t="s">
        <v>397</v>
      </c>
      <c r="K98" s="30" t="s">
        <v>406</v>
      </c>
      <c r="L98" s="26" t="s">
        <v>22</v>
      </c>
      <c r="M98" s="29" t="s">
        <v>19</v>
      </c>
      <c r="N98" s="26" t="s">
        <v>23</v>
      </c>
      <c r="O98" s="31"/>
      <c r="P98" s="31"/>
      <c r="Q98" s="31"/>
      <c r="R98" s="31"/>
      <c r="S98" s="31"/>
      <c r="T98" s="31"/>
      <c r="U98" s="31"/>
      <c r="V98" s="31"/>
      <c r="W98" s="31"/>
      <c r="X98" s="31"/>
      <c r="Y98" s="31"/>
      <c r="Z98" s="31"/>
    </row>
    <row r="99">
      <c r="A99" s="25" t="s">
        <v>304</v>
      </c>
      <c r="B99" s="26" t="s">
        <v>403</v>
      </c>
      <c r="C99" s="27" t="s">
        <v>259</v>
      </c>
      <c r="D99" s="33" t="s">
        <v>377</v>
      </c>
      <c r="E99" s="29" t="s">
        <v>404</v>
      </c>
      <c r="F99" s="27" t="s">
        <v>261</v>
      </c>
      <c r="G99" s="27" t="s">
        <v>57</v>
      </c>
      <c r="H99" s="27" t="s">
        <v>260</v>
      </c>
      <c r="I99" s="27" t="s">
        <v>405</v>
      </c>
      <c r="J99" s="25" t="s">
        <v>397</v>
      </c>
      <c r="K99" s="30" t="s">
        <v>406</v>
      </c>
      <c r="L99" s="26" t="s">
        <v>22</v>
      </c>
      <c r="M99" s="29" t="s">
        <v>19</v>
      </c>
      <c r="N99" s="26" t="s">
        <v>23</v>
      </c>
      <c r="O99" s="31"/>
      <c r="P99" s="31"/>
      <c r="Q99" s="31"/>
      <c r="R99" s="31"/>
      <c r="S99" s="31"/>
      <c r="T99" s="31"/>
      <c r="U99" s="31"/>
      <c r="V99" s="31"/>
      <c r="W99" s="31"/>
      <c r="X99" s="31"/>
      <c r="Y99" s="31"/>
      <c r="Z99" s="31"/>
    </row>
    <row r="100">
      <c r="A100" s="25" t="s">
        <v>304</v>
      </c>
      <c r="B100" s="26" t="s">
        <v>403</v>
      </c>
      <c r="C100" s="27" t="s">
        <v>262</v>
      </c>
      <c r="D100" s="33" t="s">
        <v>377</v>
      </c>
      <c r="E100" s="29" t="s">
        <v>404</v>
      </c>
      <c r="F100" s="27" t="s">
        <v>264</v>
      </c>
      <c r="G100" s="27" t="s">
        <v>57</v>
      </c>
      <c r="H100" s="27" t="s">
        <v>263</v>
      </c>
      <c r="I100" s="27" t="s">
        <v>405</v>
      </c>
      <c r="J100" s="25" t="s">
        <v>397</v>
      </c>
      <c r="K100" s="30" t="s">
        <v>406</v>
      </c>
      <c r="L100" s="26" t="s">
        <v>22</v>
      </c>
      <c r="M100" s="29" t="s">
        <v>19</v>
      </c>
      <c r="N100" s="26" t="s">
        <v>23</v>
      </c>
      <c r="O100" s="31"/>
      <c r="P100" s="31"/>
      <c r="Q100" s="31"/>
      <c r="R100" s="31"/>
      <c r="S100" s="31"/>
      <c r="T100" s="31"/>
      <c r="U100" s="31"/>
      <c r="V100" s="31"/>
      <c r="W100" s="31"/>
      <c r="X100" s="31"/>
      <c r="Y100" s="31"/>
      <c r="Z100" s="31"/>
    </row>
    <row r="101">
      <c r="A101" s="25" t="s">
        <v>304</v>
      </c>
      <c r="B101" s="26" t="s">
        <v>403</v>
      </c>
      <c r="C101" s="27" t="s">
        <v>266</v>
      </c>
      <c r="D101" s="33" t="s">
        <v>358</v>
      </c>
      <c r="E101" s="29" t="s">
        <v>404</v>
      </c>
      <c r="F101" s="27" t="s">
        <v>268</v>
      </c>
      <c r="G101" s="27" t="s">
        <v>19</v>
      </c>
      <c r="H101" s="27" t="s">
        <v>267</v>
      </c>
      <c r="I101" s="27" t="s">
        <v>405</v>
      </c>
      <c r="J101" s="25" t="s">
        <v>397</v>
      </c>
      <c r="K101" s="30" t="s">
        <v>406</v>
      </c>
      <c r="L101" s="26" t="s">
        <v>22</v>
      </c>
      <c r="M101" s="29" t="s">
        <v>19</v>
      </c>
      <c r="N101" s="26" t="s">
        <v>23</v>
      </c>
      <c r="O101" s="31"/>
      <c r="P101" s="31"/>
      <c r="Q101" s="31"/>
      <c r="R101" s="31"/>
      <c r="S101" s="31"/>
      <c r="T101" s="31"/>
      <c r="U101" s="31"/>
      <c r="V101" s="31"/>
      <c r="W101" s="31"/>
      <c r="X101" s="31"/>
      <c r="Y101" s="31"/>
      <c r="Z101" s="31"/>
    </row>
    <row r="102">
      <c r="A102" s="25" t="s">
        <v>304</v>
      </c>
      <c r="B102" s="26" t="s">
        <v>403</v>
      </c>
      <c r="C102" s="27" t="s">
        <v>75</v>
      </c>
      <c r="D102" s="33" t="s">
        <v>377</v>
      </c>
      <c r="E102" s="29" t="s">
        <v>404</v>
      </c>
      <c r="F102" s="27" t="s">
        <v>321</v>
      </c>
      <c r="G102" s="27" t="s">
        <v>225</v>
      </c>
      <c r="H102" s="27" t="s">
        <v>408</v>
      </c>
      <c r="I102" s="27" t="s">
        <v>405</v>
      </c>
      <c r="J102" s="25" t="s">
        <v>397</v>
      </c>
      <c r="K102" s="30" t="s">
        <v>406</v>
      </c>
      <c r="L102" s="26" t="s">
        <v>22</v>
      </c>
      <c r="M102" s="29" t="s">
        <v>19</v>
      </c>
      <c r="N102" s="26" t="s">
        <v>23</v>
      </c>
      <c r="O102" s="31"/>
      <c r="P102" s="31"/>
      <c r="Q102" s="31"/>
      <c r="R102" s="31"/>
      <c r="S102" s="31"/>
      <c r="T102" s="31"/>
      <c r="U102" s="31"/>
      <c r="V102" s="31"/>
      <c r="W102" s="31"/>
      <c r="X102" s="31"/>
      <c r="Y102" s="31"/>
      <c r="Z102" s="31"/>
    </row>
    <row r="103">
      <c r="A103" s="25" t="s">
        <v>304</v>
      </c>
      <c r="B103" s="26" t="s">
        <v>403</v>
      </c>
      <c r="C103" s="27" t="s">
        <v>323</v>
      </c>
      <c r="D103" s="33" t="s">
        <v>377</v>
      </c>
      <c r="E103" s="29" t="s">
        <v>404</v>
      </c>
      <c r="F103" s="27" t="s">
        <v>325</v>
      </c>
      <c r="G103" s="27" t="s">
        <v>225</v>
      </c>
      <c r="H103" s="27" t="s">
        <v>409</v>
      </c>
      <c r="I103" s="27" t="s">
        <v>405</v>
      </c>
      <c r="J103" s="25" t="s">
        <v>397</v>
      </c>
      <c r="K103" s="30" t="s">
        <v>406</v>
      </c>
      <c r="L103" s="26" t="s">
        <v>22</v>
      </c>
      <c r="M103" s="29" t="s">
        <v>19</v>
      </c>
      <c r="N103" s="26" t="s">
        <v>23</v>
      </c>
      <c r="O103" s="31"/>
      <c r="P103" s="31"/>
      <c r="Q103" s="31"/>
      <c r="R103" s="31"/>
      <c r="S103" s="31"/>
      <c r="T103" s="31"/>
      <c r="U103" s="31"/>
      <c r="V103" s="31"/>
      <c r="W103" s="31"/>
      <c r="X103" s="31"/>
      <c r="Y103" s="31"/>
      <c r="Z103" s="31"/>
    </row>
    <row r="104">
      <c r="A104" s="25" t="s">
        <v>304</v>
      </c>
      <c r="B104" s="26" t="s">
        <v>403</v>
      </c>
      <c r="C104" s="27" t="s">
        <v>270</v>
      </c>
      <c r="D104" s="33" t="s">
        <v>358</v>
      </c>
      <c r="E104" s="29" t="s">
        <v>404</v>
      </c>
      <c r="F104" s="27" t="s">
        <v>272</v>
      </c>
      <c r="G104" s="27" t="s">
        <v>19</v>
      </c>
      <c r="H104" s="27" t="s">
        <v>327</v>
      </c>
      <c r="I104" s="27" t="s">
        <v>405</v>
      </c>
      <c r="J104" s="25" t="s">
        <v>397</v>
      </c>
      <c r="K104" s="30" t="s">
        <v>406</v>
      </c>
      <c r="L104" s="26" t="s">
        <v>22</v>
      </c>
      <c r="M104" s="29" t="s">
        <v>19</v>
      </c>
      <c r="N104" s="26" t="s">
        <v>23</v>
      </c>
      <c r="O104" s="31"/>
      <c r="P104" s="31"/>
      <c r="Q104" s="31"/>
      <c r="R104" s="31"/>
      <c r="S104" s="31"/>
      <c r="T104" s="31"/>
      <c r="U104" s="31"/>
      <c r="V104" s="31"/>
      <c r="W104" s="31"/>
      <c r="X104" s="31"/>
      <c r="Y104" s="31"/>
      <c r="Z104" s="31"/>
    </row>
    <row r="105">
      <c r="A105" s="25" t="s">
        <v>304</v>
      </c>
      <c r="B105" s="26" t="s">
        <v>403</v>
      </c>
      <c r="C105" s="27" t="s">
        <v>328</v>
      </c>
      <c r="D105" s="33" t="s">
        <v>358</v>
      </c>
      <c r="E105" s="29" t="s">
        <v>404</v>
      </c>
      <c r="F105" s="27" t="s">
        <v>330</v>
      </c>
      <c r="G105" s="27" t="s">
        <v>19</v>
      </c>
      <c r="H105" s="27" t="s">
        <v>331</v>
      </c>
      <c r="I105" s="27" t="s">
        <v>405</v>
      </c>
      <c r="J105" s="25" t="s">
        <v>397</v>
      </c>
      <c r="K105" s="30" t="s">
        <v>406</v>
      </c>
      <c r="L105" s="26" t="s">
        <v>22</v>
      </c>
      <c r="M105" s="29" t="s">
        <v>19</v>
      </c>
      <c r="N105" s="26" t="s">
        <v>23</v>
      </c>
      <c r="O105" s="31"/>
      <c r="P105" s="31"/>
      <c r="Q105" s="31"/>
      <c r="R105" s="31"/>
      <c r="S105" s="31"/>
      <c r="T105" s="31"/>
      <c r="U105" s="31"/>
      <c r="V105" s="31"/>
      <c r="W105" s="31"/>
      <c r="X105" s="31"/>
      <c r="Y105" s="31"/>
      <c r="Z105" s="31"/>
    </row>
    <row r="106">
      <c r="A106" s="25" t="s">
        <v>304</v>
      </c>
      <c r="B106" s="26" t="s">
        <v>403</v>
      </c>
      <c r="C106" s="27" t="s">
        <v>274</v>
      </c>
      <c r="D106" s="33" t="s">
        <v>358</v>
      </c>
      <c r="E106" s="29" t="s">
        <v>404</v>
      </c>
      <c r="F106" s="27" t="s">
        <v>276</v>
      </c>
      <c r="G106" s="27" t="s">
        <v>19</v>
      </c>
      <c r="H106" s="27" t="s">
        <v>332</v>
      </c>
      <c r="I106" s="27" t="s">
        <v>405</v>
      </c>
      <c r="J106" s="25" t="s">
        <v>397</v>
      </c>
      <c r="K106" s="30" t="s">
        <v>406</v>
      </c>
      <c r="L106" s="26" t="s">
        <v>22</v>
      </c>
      <c r="M106" s="29" t="s">
        <v>19</v>
      </c>
      <c r="N106" s="26" t="s">
        <v>23</v>
      </c>
      <c r="O106" s="31"/>
      <c r="P106" s="31"/>
      <c r="Q106" s="31"/>
      <c r="R106" s="31"/>
      <c r="S106" s="31"/>
      <c r="T106" s="31"/>
      <c r="U106" s="31"/>
      <c r="V106" s="31"/>
      <c r="W106" s="31"/>
      <c r="X106" s="31"/>
      <c r="Y106" s="31"/>
      <c r="Z106" s="31"/>
    </row>
    <row r="107">
      <c r="A107" s="25" t="s">
        <v>304</v>
      </c>
      <c r="B107" s="26" t="s">
        <v>403</v>
      </c>
      <c r="C107" s="27" t="s">
        <v>278</v>
      </c>
      <c r="D107" s="33" t="s">
        <v>358</v>
      </c>
      <c r="E107" s="29" t="s">
        <v>404</v>
      </c>
      <c r="F107" s="27" t="s">
        <v>280</v>
      </c>
      <c r="G107" s="27" t="s">
        <v>19</v>
      </c>
      <c r="H107" s="27" t="s">
        <v>410</v>
      </c>
      <c r="I107" s="27" t="s">
        <v>405</v>
      </c>
      <c r="J107" s="25" t="s">
        <v>397</v>
      </c>
      <c r="K107" s="30" t="s">
        <v>406</v>
      </c>
      <c r="L107" s="26" t="s">
        <v>22</v>
      </c>
      <c r="M107" s="29" t="s">
        <v>19</v>
      </c>
      <c r="N107" s="26" t="s">
        <v>23</v>
      </c>
      <c r="O107" s="31"/>
      <c r="P107" s="31"/>
      <c r="Q107" s="31"/>
      <c r="R107" s="31"/>
      <c r="S107" s="31"/>
      <c r="T107" s="31"/>
      <c r="U107" s="31"/>
      <c r="V107" s="31"/>
      <c r="W107" s="31"/>
      <c r="X107" s="31"/>
      <c r="Y107" s="31"/>
      <c r="Z107" s="31"/>
    </row>
    <row r="108">
      <c r="A108" s="25" t="s">
        <v>304</v>
      </c>
      <c r="B108" s="26" t="s">
        <v>403</v>
      </c>
      <c r="C108" s="27" t="s">
        <v>334</v>
      </c>
      <c r="D108" s="33" t="s">
        <v>358</v>
      </c>
      <c r="E108" s="29" t="s">
        <v>404</v>
      </c>
      <c r="F108" s="27" t="s">
        <v>335</v>
      </c>
      <c r="G108" s="27" t="s">
        <v>19</v>
      </c>
      <c r="H108" s="27" t="s">
        <v>336</v>
      </c>
      <c r="I108" s="27" t="s">
        <v>405</v>
      </c>
      <c r="J108" s="25" t="s">
        <v>397</v>
      </c>
      <c r="K108" s="30" t="s">
        <v>406</v>
      </c>
      <c r="L108" s="26" t="s">
        <v>22</v>
      </c>
      <c r="M108" s="29" t="s">
        <v>19</v>
      </c>
      <c r="N108" s="26" t="s">
        <v>23</v>
      </c>
      <c r="O108" s="31"/>
      <c r="P108" s="31"/>
      <c r="Q108" s="31"/>
      <c r="R108" s="31"/>
      <c r="S108" s="31"/>
      <c r="T108" s="31"/>
      <c r="U108" s="31"/>
      <c r="V108" s="31"/>
      <c r="W108" s="31"/>
      <c r="X108" s="31"/>
      <c r="Y108" s="31"/>
      <c r="Z108" s="31"/>
    </row>
    <row r="109">
      <c r="A109" s="25" t="s">
        <v>304</v>
      </c>
      <c r="B109" s="26" t="s">
        <v>403</v>
      </c>
      <c r="C109" s="27" t="s">
        <v>337</v>
      </c>
      <c r="D109" s="33" t="s">
        <v>377</v>
      </c>
      <c r="E109" s="29" t="s">
        <v>404</v>
      </c>
      <c r="F109" s="27" t="s">
        <v>339</v>
      </c>
      <c r="G109" s="27" t="s">
        <v>225</v>
      </c>
      <c r="H109" s="27" t="s">
        <v>340</v>
      </c>
      <c r="I109" s="27" t="s">
        <v>405</v>
      </c>
      <c r="J109" s="25" t="s">
        <v>397</v>
      </c>
      <c r="K109" s="30" t="s">
        <v>406</v>
      </c>
      <c r="L109" s="26" t="s">
        <v>22</v>
      </c>
      <c r="M109" s="29" t="s">
        <v>19</v>
      </c>
      <c r="N109" s="26" t="s">
        <v>23</v>
      </c>
      <c r="O109" s="31"/>
      <c r="P109" s="31"/>
      <c r="Q109" s="31"/>
      <c r="R109" s="31"/>
      <c r="S109" s="31"/>
      <c r="T109" s="31"/>
      <c r="U109" s="31"/>
      <c r="V109" s="31"/>
      <c r="W109" s="31"/>
      <c r="X109" s="31"/>
      <c r="Y109" s="31"/>
      <c r="Z109" s="31"/>
    </row>
    <row r="110">
      <c r="A110" s="25" t="s">
        <v>304</v>
      </c>
      <c r="B110" s="26" t="s">
        <v>403</v>
      </c>
      <c r="C110" s="27" t="s">
        <v>99</v>
      </c>
      <c r="D110" s="33" t="s">
        <v>358</v>
      </c>
      <c r="E110" s="29" t="s">
        <v>404</v>
      </c>
      <c r="F110" s="27" t="s">
        <v>283</v>
      </c>
      <c r="G110" s="27" t="s">
        <v>19</v>
      </c>
      <c r="H110" s="27" t="s">
        <v>282</v>
      </c>
      <c r="I110" s="27" t="s">
        <v>405</v>
      </c>
      <c r="J110" s="25" t="s">
        <v>397</v>
      </c>
      <c r="K110" s="30" t="s">
        <v>406</v>
      </c>
      <c r="L110" s="26" t="s">
        <v>22</v>
      </c>
      <c r="M110" s="29" t="s">
        <v>19</v>
      </c>
      <c r="N110" s="26" t="s">
        <v>23</v>
      </c>
      <c r="O110" s="31"/>
      <c r="P110" s="31"/>
      <c r="Q110" s="31"/>
      <c r="R110" s="31"/>
      <c r="S110" s="31"/>
      <c r="T110" s="31"/>
      <c r="U110" s="31"/>
      <c r="V110" s="31"/>
      <c r="W110" s="31"/>
      <c r="X110" s="31"/>
      <c r="Y110" s="31"/>
      <c r="Z110" s="31"/>
    </row>
    <row r="111">
      <c r="A111" s="25" t="s">
        <v>304</v>
      </c>
      <c r="B111" s="26" t="s">
        <v>403</v>
      </c>
      <c r="C111" s="27" t="s">
        <v>285</v>
      </c>
      <c r="D111" s="33" t="s">
        <v>358</v>
      </c>
      <c r="E111" s="29" t="s">
        <v>404</v>
      </c>
      <c r="F111" s="27" t="s">
        <v>287</v>
      </c>
      <c r="G111" s="27" t="s">
        <v>19</v>
      </c>
      <c r="H111" s="27" t="s">
        <v>341</v>
      </c>
      <c r="I111" s="27" t="s">
        <v>405</v>
      </c>
      <c r="J111" s="25" t="s">
        <v>397</v>
      </c>
      <c r="K111" s="30" t="s">
        <v>406</v>
      </c>
      <c r="L111" s="26" t="s">
        <v>22</v>
      </c>
      <c r="M111" s="29" t="s">
        <v>19</v>
      </c>
      <c r="N111" s="26" t="s">
        <v>23</v>
      </c>
      <c r="O111" s="31"/>
      <c r="P111" s="31"/>
      <c r="Q111" s="31"/>
      <c r="R111" s="31"/>
      <c r="S111" s="31"/>
      <c r="T111" s="31"/>
      <c r="U111" s="31"/>
      <c r="V111" s="31"/>
      <c r="W111" s="31"/>
      <c r="X111" s="31"/>
      <c r="Y111" s="31"/>
      <c r="Z111" s="31"/>
    </row>
    <row r="112">
      <c r="A112" s="25" t="s">
        <v>304</v>
      </c>
      <c r="B112" s="26" t="s">
        <v>403</v>
      </c>
      <c r="C112" s="27" t="s">
        <v>289</v>
      </c>
      <c r="D112" s="33" t="s">
        <v>358</v>
      </c>
      <c r="E112" s="29" t="s">
        <v>404</v>
      </c>
      <c r="F112" s="27" t="s">
        <v>291</v>
      </c>
      <c r="G112" s="27" t="s">
        <v>19</v>
      </c>
      <c r="H112" s="27" t="s">
        <v>342</v>
      </c>
      <c r="I112" s="27" t="s">
        <v>405</v>
      </c>
      <c r="J112" s="25" t="s">
        <v>397</v>
      </c>
      <c r="K112" s="30" t="s">
        <v>406</v>
      </c>
      <c r="L112" s="26" t="s">
        <v>22</v>
      </c>
      <c r="M112" s="29" t="s">
        <v>19</v>
      </c>
      <c r="N112" s="26" t="s">
        <v>23</v>
      </c>
      <c r="O112" s="31"/>
      <c r="P112" s="31"/>
      <c r="Q112" s="31"/>
      <c r="R112" s="31"/>
      <c r="S112" s="31"/>
      <c r="T112" s="31"/>
      <c r="U112" s="31"/>
      <c r="V112" s="31"/>
      <c r="W112" s="31"/>
      <c r="X112" s="31"/>
      <c r="Y112" s="31"/>
      <c r="Z112" s="31"/>
    </row>
    <row r="113">
      <c r="A113" s="25" t="s">
        <v>304</v>
      </c>
      <c r="B113" s="26" t="s">
        <v>403</v>
      </c>
      <c r="C113" s="27" t="s">
        <v>343</v>
      </c>
      <c r="D113" s="33" t="s">
        <v>358</v>
      </c>
      <c r="E113" s="29" t="s">
        <v>404</v>
      </c>
      <c r="F113" s="27" t="s">
        <v>345</v>
      </c>
      <c r="G113" s="27" t="s">
        <v>19</v>
      </c>
      <c r="H113" s="27" t="s">
        <v>346</v>
      </c>
      <c r="I113" s="27" t="s">
        <v>405</v>
      </c>
      <c r="J113" s="25" t="s">
        <v>397</v>
      </c>
      <c r="K113" s="30" t="s">
        <v>406</v>
      </c>
      <c r="L113" s="26" t="s">
        <v>22</v>
      </c>
      <c r="M113" s="29" t="s">
        <v>19</v>
      </c>
      <c r="N113" s="26" t="s">
        <v>23</v>
      </c>
      <c r="O113" s="31"/>
      <c r="P113" s="31"/>
      <c r="Q113" s="31"/>
      <c r="R113" s="31"/>
      <c r="S113" s="31"/>
      <c r="T113" s="31"/>
      <c r="U113" s="31"/>
      <c r="V113" s="31"/>
      <c r="W113" s="31"/>
      <c r="X113" s="31"/>
      <c r="Y113" s="31"/>
      <c r="Z113" s="31"/>
    </row>
    <row r="114">
      <c r="A114" s="25" t="s">
        <v>304</v>
      </c>
      <c r="B114" s="26" t="s">
        <v>403</v>
      </c>
      <c r="C114" s="27" t="s">
        <v>292</v>
      </c>
      <c r="D114" s="33" t="s">
        <v>358</v>
      </c>
      <c r="E114" s="29" t="s">
        <v>404</v>
      </c>
      <c r="F114" s="27" t="s">
        <v>294</v>
      </c>
      <c r="G114" s="27" t="s">
        <v>19</v>
      </c>
      <c r="H114" s="27" t="s">
        <v>348</v>
      </c>
      <c r="I114" s="27" t="s">
        <v>405</v>
      </c>
      <c r="J114" s="25" t="s">
        <v>397</v>
      </c>
      <c r="K114" s="30" t="s">
        <v>406</v>
      </c>
      <c r="L114" s="26" t="s">
        <v>22</v>
      </c>
      <c r="M114" s="29" t="s">
        <v>19</v>
      </c>
      <c r="N114" s="26" t="s">
        <v>23</v>
      </c>
      <c r="O114" s="31"/>
      <c r="P114" s="31"/>
      <c r="Q114" s="31"/>
      <c r="R114" s="31"/>
      <c r="S114" s="31"/>
      <c r="T114" s="31"/>
      <c r="U114" s="31"/>
      <c r="V114" s="31"/>
      <c r="W114" s="31"/>
      <c r="X114" s="31"/>
      <c r="Y114" s="31"/>
      <c r="Z114" s="31"/>
    </row>
    <row r="115">
      <c r="A115" s="25" t="s">
        <v>304</v>
      </c>
      <c r="B115" s="26" t="s">
        <v>403</v>
      </c>
      <c r="C115" s="27" t="s">
        <v>105</v>
      </c>
      <c r="D115" s="33" t="s">
        <v>358</v>
      </c>
      <c r="E115" s="29" t="s">
        <v>404</v>
      </c>
      <c r="F115" s="27" t="s">
        <v>297</v>
      </c>
      <c r="G115" s="27" t="s">
        <v>19</v>
      </c>
      <c r="H115" s="27" t="s">
        <v>349</v>
      </c>
      <c r="I115" s="27" t="s">
        <v>405</v>
      </c>
      <c r="J115" s="25" t="s">
        <v>397</v>
      </c>
      <c r="K115" s="30" t="s">
        <v>406</v>
      </c>
      <c r="L115" s="26" t="s">
        <v>22</v>
      </c>
      <c r="M115" s="29" t="s">
        <v>19</v>
      </c>
      <c r="N115" s="26" t="s">
        <v>23</v>
      </c>
      <c r="O115" s="31"/>
      <c r="P115" s="31"/>
      <c r="Q115" s="31"/>
      <c r="R115" s="31"/>
      <c r="S115" s="31"/>
      <c r="T115" s="31"/>
      <c r="U115" s="31"/>
      <c r="V115" s="31"/>
      <c r="W115" s="31"/>
      <c r="X115" s="31"/>
      <c r="Y115" s="31"/>
      <c r="Z115" s="31"/>
    </row>
    <row r="116">
      <c r="A116" s="25" t="s">
        <v>304</v>
      </c>
      <c r="B116" s="26" t="s">
        <v>403</v>
      </c>
      <c r="C116" s="27" t="s">
        <v>350</v>
      </c>
      <c r="D116" s="33" t="s">
        <v>358</v>
      </c>
      <c r="E116" s="29" t="s">
        <v>404</v>
      </c>
      <c r="F116" s="27" t="s">
        <v>351</v>
      </c>
      <c r="G116" s="27" t="s">
        <v>19</v>
      </c>
      <c r="H116" s="27" t="s">
        <v>352</v>
      </c>
      <c r="I116" s="27" t="s">
        <v>405</v>
      </c>
      <c r="J116" s="25" t="s">
        <v>397</v>
      </c>
      <c r="K116" s="30" t="s">
        <v>406</v>
      </c>
      <c r="L116" s="26" t="s">
        <v>22</v>
      </c>
      <c r="M116" s="29" t="s">
        <v>19</v>
      </c>
      <c r="N116" s="26" t="s">
        <v>23</v>
      </c>
      <c r="O116" s="31"/>
      <c r="P116" s="31"/>
      <c r="Q116" s="31"/>
      <c r="R116" s="31"/>
      <c r="S116" s="31"/>
      <c r="T116" s="31"/>
      <c r="U116" s="31"/>
      <c r="V116" s="31"/>
      <c r="W116" s="31"/>
      <c r="X116" s="31"/>
      <c r="Y116" s="31"/>
      <c r="Z116" s="31"/>
    </row>
    <row r="117">
      <c r="A117" s="25" t="s">
        <v>304</v>
      </c>
      <c r="B117" s="26" t="s">
        <v>403</v>
      </c>
      <c r="C117" s="27" t="s">
        <v>353</v>
      </c>
      <c r="D117" s="33" t="s">
        <v>358</v>
      </c>
      <c r="E117" s="29" t="s">
        <v>404</v>
      </c>
      <c r="F117" s="27" t="s">
        <v>355</v>
      </c>
      <c r="G117" s="27" t="s">
        <v>19</v>
      </c>
      <c r="H117" s="27" t="s">
        <v>393</v>
      </c>
      <c r="I117" s="27" t="s">
        <v>405</v>
      </c>
      <c r="J117" s="25" t="s">
        <v>397</v>
      </c>
      <c r="K117" s="30" t="s">
        <v>406</v>
      </c>
      <c r="L117" s="26" t="s">
        <v>22</v>
      </c>
      <c r="M117" s="29" t="s">
        <v>19</v>
      </c>
      <c r="N117" s="26" t="s">
        <v>23</v>
      </c>
      <c r="O117" s="31"/>
      <c r="P117" s="31"/>
      <c r="Q117" s="31"/>
      <c r="R117" s="31"/>
      <c r="S117" s="31"/>
      <c r="T117" s="31"/>
      <c r="U117" s="31"/>
      <c r="V117" s="31"/>
      <c r="W117" s="31"/>
      <c r="X117" s="31"/>
      <c r="Y117" s="31"/>
      <c r="Z117" s="31"/>
    </row>
    <row r="118">
      <c r="A118" s="25" t="s">
        <v>304</v>
      </c>
      <c r="B118" s="33" t="s">
        <v>411</v>
      </c>
      <c r="C118" s="10" t="s">
        <v>213</v>
      </c>
      <c r="D118" s="33" t="s">
        <v>358</v>
      </c>
      <c r="E118" s="34" t="s">
        <v>412</v>
      </c>
      <c r="F118" s="10" t="s">
        <v>215</v>
      </c>
      <c r="G118" s="34" t="s">
        <v>19</v>
      </c>
      <c r="H118" s="10" t="s">
        <v>413</v>
      </c>
      <c r="I118" s="10" t="s">
        <v>414</v>
      </c>
      <c r="J118" s="25" t="s">
        <v>397</v>
      </c>
      <c r="K118" s="35" t="s">
        <v>406</v>
      </c>
      <c r="L118" s="26" t="s">
        <v>22</v>
      </c>
      <c r="M118" s="29" t="s">
        <v>19</v>
      </c>
      <c r="N118" s="26" t="s">
        <v>23</v>
      </c>
      <c r="O118" s="31"/>
      <c r="P118" s="31"/>
      <c r="Q118" s="31"/>
      <c r="R118" s="31"/>
      <c r="S118" s="31"/>
      <c r="T118" s="31"/>
      <c r="U118" s="31"/>
      <c r="V118" s="31"/>
      <c r="W118" s="31"/>
      <c r="X118" s="31"/>
      <c r="Y118" s="31"/>
      <c r="Z118" s="31"/>
    </row>
    <row r="119">
      <c r="A119" s="25" t="s">
        <v>304</v>
      </c>
      <c r="B119" s="33" t="s">
        <v>411</v>
      </c>
      <c r="C119" s="10" t="s">
        <v>66</v>
      </c>
      <c r="D119" s="33" t="s">
        <v>358</v>
      </c>
      <c r="E119" s="34" t="s">
        <v>412</v>
      </c>
      <c r="F119" s="10" t="s">
        <v>220</v>
      </c>
      <c r="G119" s="34" t="s">
        <v>19</v>
      </c>
      <c r="H119" s="10" t="s">
        <v>415</v>
      </c>
      <c r="I119" s="10" t="s">
        <v>414</v>
      </c>
      <c r="J119" s="25" t="s">
        <v>397</v>
      </c>
      <c r="K119" s="35" t="s">
        <v>406</v>
      </c>
      <c r="L119" s="26" t="s">
        <v>22</v>
      </c>
      <c r="M119" s="29" t="s">
        <v>19</v>
      </c>
      <c r="N119" s="26" t="s">
        <v>23</v>
      </c>
      <c r="O119" s="31"/>
      <c r="P119" s="31"/>
      <c r="Q119" s="31"/>
      <c r="R119" s="31"/>
      <c r="S119" s="31"/>
      <c r="T119" s="31"/>
      <c r="U119" s="31"/>
      <c r="V119" s="31"/>
      <c r="W119" s="31"/>
      <c r="X119" s="31"/>
      <c r="Y119" s="31"/>
      <c r="Z119" s="31"/>
    </row>
    <row r="120">
      <c r="A120" s="25" t="s">
        <v>304</v>
      </c>
      <c r="B120" s="33" t="s">
        <v>411</v>
      </c>
      <c r="C120" s="10" t="s">
        <v>226</v>
      </c>
      <c r="D120" s="33" t="s">
        <v>358</v>
      </c>
      <c r="E120" s="34" t="s">
        <v>412</v>
      </c>
      <c r="F120" s="10" t="s">
        <v>228</v>
      </c>
      <c r="G120" s="34" t="s">
        <v>19</v>
      </c>
      <c r="H120" s="10" t="s">
        <v>416</v>
      </c>
      <c r="I120" s="10" t="s">
        <v>414</v>
      </c>
      <c r="J120" s="25" t="s">
        <v>397</v>
      </c>
      <c r="K120" s="35" t="s">
        <v>406</v>
      </c>
      <c r="L120" s="26" t="s">
        <v>22</v>
      </c>
      <c r="M120" s="29" t="s">
        <v>19</v>
      </c>
      <c r="N120" s="26" t="s">
        <v>23</v>
      </c>
      <c r="O120" s="31"/>
      <c r="P120" s="31"/>
      <c r="Q120" s="31"/>
      <c r="R120" s="31"/>
      <c r="S120" s="31"/>
      <c r="T120" s="31"/>
      <c r="U120" s="31"/>
      <c r="V120" s="31"/>
      <c r="W120" s="31"/>
      <c r="X120" s="31"/>
      <c r="Y120" s="31"/>
      <c r="Z120" s="31"/>
    </row>
    <row r="121">
      <c r="A121" s="25" t="s">
        <v>304</v>
      </c>
      <c r="B121" s="33" t="s">
        <v>411</v>
      </c>
      <c r="C121" s="10" t="s">
        <v>96</v>
      </c>
      <c r="D121" s="33" t="s">
        <v>358</v>
      </c>
      <c r="E121" s="34" t="s">
        <v>412</v>
      </c>
      <c r="F121" s="10" t="s">
        <v>231</v>
      </c>
      <c r="G121" s="34" t="s">
        <v>19</v>
      </c>
      <c r="H121" s="10" t="s">
        <v>417</v>
      </c>
      <c r="I121" s="10" t="s">
        <v>414</v>
      </c>
      <c r="J121" s="25" t="s">
        <v>397</v>
      </c>
      <c r="K121" s="35" t="s">
        <v>406</v>
      </c>
      <c r="L121" s="26" t="s">
        <v>22</v>
      </c>
      <c r="M121" s="29" t="s">
        <v>19</v>
      </c>
      <c r="N121" s="26" t="s">
        <v>23</v>
      </c>
      <c r="O121" s="31"/>
      <c r="P121" s="31"/>
      <c r="Q121" s="31"/>
      <c r="R121" s="31"/>
      <c r="S121" s="31"/>
      <c r="T121" s="31"/>
      <c r="U121" s="31"/>
      <c r="V121" s="31"/>
      <c r="W121" s="31"/>
      <c r="X121" s="31"/>
      <c r="Y121" s="31"/>
      <c r="Z121" s="31"/>
    </row>
    <row r="122">
      <c r="A122" s="25" t="s">
        <v>304</v>
      </c>
      <c r="B122" s="33" t="s">
        <v>411</v>
      </c>
      <c r="C122" s="10" t="s">
        <v>233</v>
      </c>
      <c r="D122" s="33" t="s">
        <v>358</v>
      </c>
      <c r="E122" s="34" t="s">
        <v>412</v>
      </c>
      <c r="F122" s="10" t="s">
        <v>365</v>
      </c>
      <c r="G122" s="34" t="s">
        <v>19</v>
      </c>
      <c r="H122" s="10" t="s">
        <v>418</v>
      </c>
      <c r="I122" s="10" t="s">
        <v>414</v>
      </c>
      <c r="J122" s="25" t="s">
        <v>397</v>
      </c>
      <c r="K122" s="35" t="s">
        <v>406</v>
      </c>
      <c r="L122" s="26" t="s">
        <v>22</v>
      </c>
      <c r="M122" s="29" t="s">
        <v>19</v>
      </c>
      <c r="N122" s="26" t="s">
        <v>23</v>
      </c>
      <c r="O122" s="31"/>
      <c r="P122" s="31"/>
      <c r="Q122" s="31"/>
      <c r="R122" s="31"/>
      <c r="S122" s="31"/>
      <c r="T122" s="31"/>
      <c r="U122" s="31"/>
      <c r="V122" s="31"/>
      <c r="W122" s="31"/>
      <c r="X122" s="31"/>
      <c r="Y122" s="31"/>
      <c r="Z122" s="31"/>
    </row>
    <row r="123">
      <c r="A123" s="25" t="s">
        <v>304</v>
      </c>
      <c r="B123" s="33" t="s">
        <v>411</v>
      </c>
      <c r="C123" s="10" t="s">
        <v>237</v>
      </c>
      <c r="D123" s="33" t="s">
        <v>358</v>
      </c>
      <c r="E123" s="34" t="s">
        <v>412</v>
      </c>
      <c r="F123" s="10" t="s">
        <v>239</v>
      </c>
      <c r="G123" s="34" t="s">
        <v>19</v>
      </c>
      <c r="H123" s="10" t="s">
        <v>419</v>
      </c>
      <c r="I123" s="10" t="s">
        <v>414</v>
      </c>
      <c r="J123" s="25" t="s">
        <v>397</v>
      </c>
      <c r="K123" s="35" t="s">
        <v>406</v>
      </c>
      <c r="L123" s="26" t="s">
        <v>22</v>
      </c>
      <c r="M123" s="29" t="s">
        <v>19</v>
      </c>
      <c r="N123" s="26" t="s">
        <v>23</v>
      </c>
      <c r="O123" s="31"/>
      <c r="P123" s="31"/>
      <c r="Q123" s="31"/>
      <c r="R123" s="31"/>
      <c r="S123" s="31"/>
      <c r="T123" s="31"/>
      <c r="U123" s="31"/>
      <c r="V123" s="31"/>
      <c r="W123" s="31"/>
      <c r="X123" s="31"/>
      <c r="Y123" s="31"/>
      <c r="Z123" s="31"/>
    </row>
    <row r="124">
      <c r="A124" s="25" t="s">
        <v>304</v>
      </c>
      <c r="B124" s="33" t="s">
        <v>411</v>
      </c>
      <c r="C124" s="10" t="s">
        <v>241</v>
      </c>
      <c r="D124" s="33" t="s">
        <v>358</v>
      </c>
      <c r="E124" s="34" t="s">
        <v>412</v>
      </c>
      <c r="F124" s="10" t="s">
        <v>243</v>
      </c>
      <c r="G124" s="34" t="s">
        <v>19</v>
      </c>
      <c r="H124" s="10" t="s">
        <v>420</v>
      </c>
      <c r="I124" s="10" t="s">
        <v>414</v>
      </c>
      <c r="J124" s="25" t="s">
        <v>397</v>
      </c>
      <c r="K124" s="35" t="s">
        <v>406</v>
      </c>
      <c r="L124" s="26" t="s">
        <v>22</v>
      </c>
      <c r="M124" s="29" t="s">
        <v>19</v>
      </c>
      <c r="N124" s="26" t="s">
        <v>23</v>
      </c>
      <c r="O124" s="31"/>
      <c r="P124" s="31"/>
      <c r="Q124" s="31"/>
      <c r="R124" s="31"/>
      <c r="S124" s="31"/>
      <c r="T124" s="31"/>
      <c r="U124" s="31"/>
      <c r="V124" s="31"/>
      <c r="W124" s="31"/>
      <c r="X124" s="31"/>
      <c r="Y124" s="31"/>
      <c r="Z124" s="31"/>
    </row>
    <row r="125">
      <c r="A125" s="25" t="s">
        <v>304</v>
      </c>
      <c r="B125" s="33" t="s">
        <v>411</v>
      </c>
      <c r="C125" s="10" t="s">
        <v>245</v>
      </c>
      <c r="D125" s="33" t="s">
        <v>358</v>
      </c>
      <c r="E125" s="34" t="s">
        <v>412</v>
      </c>
      <c r="F125" s="10" t="s">
        <v>371</v>
      </c>
      <c r="G125" s="34" t="s">
        <v>19</v>
      </c>
      <c r="H125" s="10" t="s">
        <v>421</v>
      </c>
      <c r="I125" s="10" t="s">
        <v>414</v>
      </c>
      <c r="J125" s="25" t="s">
        <v>397</v>
      </c>
      <c r="K125" s="35" t="s">
        <v>406</v>
      </c>
      <c r="L125" s="26" t="s">
        <v>22</v>
      </c>
      <c r="M125" s="29" t="s">
        <v>19</v>
      </c>
      <c r="N125" s="26" t="s">
        <v>23</v>
      </c>
      <c r="O125" s="31"/>
      <c r="P125" s="31"/>
      <c r="Q125" s="31"/>
      <c r="R125" s="31"/>
      <c r="S125" s="31"/>
      <c r="T125" s="31"/>
      <c r="U125" s="31"/>
      <c r="V125" s="31"/>
      <c r="W125" s="31"/>
      <c r="X125" s="31"/>
      <c r="Y125" s="31"/>
      <c r="Z125" s="31"/>
    </row>
    <row r="126">
      <c r="A126" s="25" t="s">
        <v>304</v>
      </c>
      <c r="B126" s="33" t="s">
        <v>411</v>
      </c>
      <c r="C126" s="10" t="s">
        <v>314</v>
      </c>
      <c r="D126" s="33" t="s">
        <v>358</v>
      </c>
      <c r="E126" s="34" t="s">
        <v>412</v>
      </c>
      <c r="F126" s="10" t="s">
        <v>316</v>
      </c>
      <c r="G126" s="34" t="s">
        <v>19</v>
      </c>
      <c r="H126" s="10" t="s">
        <v>422</v>
      </c>
      <c r="I126" s="10" t="s">
        <v>414</v>
      </c>
      <c r="J126" s="25" t="s">
        <v>397</v>
      </c>
      <c r="K126" s="35" t="s">
        <v>406</v>
      </c>
      <c r="L126" s="26" t="s">
        <v>22</v>
      </c>
      <c r="M126" s="29" t="s">
        <v>19</v>
      </c>
      <c r="N126" s="26" t="s">
        <v>23</v>
      </c>
      <c r="O126" s="31"/>
      <c r="P126" s="31"/>
      <c r="Q126" s="31"/>
      <c r="R126" s="31"/>
      <c r="S126" s="31"/>
      <c r="T126" s="31"/>
      <c r="U126" s="31"/>
      <c r="V126" s="31"/>
      <c r="W126" s="31"/>
      <c r="X126" s="31"/>
      <c r="Y126" s="31"/>
      <c r="Z126" s="31"/>
    </row>
    <row r="127">
      <c r="A127" s="25" t="s">
        <v>304</v>
      </c>
      <c r="B127" s="33" t="s">
        <v>411</v>
      </c>
      <c r="C127" s="10" t="s">
        <v>197</v>
      </c>
      <c r="D127" s="10" t="s">
        <v>401</v>
      </c>
      <c r="E127" s="34" t="s">
        <v>412</v>
      </c>
      <c r="F127" s="10" t="s">
        <v>223</v>
      </c>
      <c r="G127" s="34" t="s">
        <v>225</v>
      </c>
      <c r="H127" s="10" t="s">
        <v>423</v>
      </c>
      <c r="I127" s="10" t="s">
        <v>414</v>
      </c>
      <c r="J127" s="25" t="s">
        <v>397</v>
      </c>
      <c r="K127" s="35" t="s">
        <v>406</v>
      </c>
      <c r="L127" s="26" t="s">
        <v>22</v>
      </c>
      <c r="M127" s="29" t="s">
        <v>19</v>
      </c>
      <c r="N127" s="26" t="s">
        <v>23</v>
      </c>
      <c r="O127" s="31"/>
      <c r="P127" s="31"/>
      <c r="Q127" s="31"/>
      <c r="R127" s="31"/>
      <c r="S127" s="31"/>
      <c r="T127" s="31"/>
      <c r="U127" s="31"/>
      <c r="V127" s="31"/>
      <c r="W127" s="31"/>
      <c r="X127" s="31"/>
      <c r="Y127" s="31"/>
      <c r="Z127" s="31"/>
    </row>
    <row r="128">
      <c r="A128" s="25" t="s">
        <v>304</v>
      </c>
      <c r="B128" s="33" t="s">
        <v>411</v>
      </c>
      <c r="C128" s="10" t="s">
        <v>249</v>
      </c>
      <c r="D128" s="10" t="s">
        <v>401</v>
      </c>
      <c r="E128" s="34" t="s">
        <v>412</v>
      </c>
      <c r="F128" s="10" t="s">
        <v>251</v>
      </c>
      <c r="G128" s="34" t="s">
        <v>253</v>
      </c>
      <c r="H128" s="10" t="s">
        <v>424</v>
      </c>
      <c r="I128" s="10" t="s">
        <v>414</v>
      </c>
      <c r="J128" s="25" t="s">
        <v>397</v>
      </c>
      <c r="K128" s="35" t="s">
        <v>406</v>
      </c>
      <c r="L128" s="26" t="s">
        <v>22</v>
      </c>
      <c r="M128" s="29" t="s">
        <v>19</v>
      </c>
      <c r="N128" s="26" t="s">
        <v>23</v>
      </c>
      <c r="O128" s="31"/>
      <c r="P128" s="31"/>
      <c r="Q128" s="31"/>
      <c r="R128" s="31"/>
      <c r="S128" s="31"/>
      <c r="T128" s="31"/>
      <c r="U128" s="31"/>
      <c r="V128" s="31"/>
      <c r="W128" s="31"/>
      <c r="X128" s="31"/>
      <c r="Y128" s="31"/>
      <c r="Z128" s="31"/>
    </row>
    <row r="129">
      <c r="A129" s="25" t="s">
        <v>304</v>
      </c>
      <c r="B129" s="33" t="s">
        <v>411</v>
      </c>
      <c r="C129" s="10" t="s">
        <v>254</v>
      </c>
      <c r="D129" s="10" t="s">
        <v>401</v>
      </c>
      <c r="E129" s="34" t="s">
        <v>412</v>
      </c>
      <c r="F129" s="10" t="s">
        <v>256</v>
      </c>
      <c r="G129" s="34" t="s">
        <v>258</v>
      </c>
      <c r="H129" s="10" t="s">
        <v>425</v>
      </c>
      <c r="I129" s="10" t="s">
        <v>414</v>
      </c>
      <c r="J129" s="25" t="s">
        <v>397</v>
      </c>
      <c r="K129" s="35" t="s">
        <v>406</v>
      </c>
      <c r="L129" s="26" t="s">
        <v>22</v>
      </c>
      <c r="M129" s="29" t="s">
        <v>19</v>
      </c>
      <c r="N129" s="26" t="s">
        <v>23</v>
      </c>
      <c r="O129" s="31"/>
      <c r="P129" s="31"/>
      <c r="Q129" s="31"/>
      <c r="R129" s="31"/>
      <c r="S129" s="31"/>
      <c r="T129" s="31"/>
      <c r="U129" s="31"/>
      <c r="V129" s="31"/>
      <c r="W129" s="31"/>
      <c r="X129" s="31"/>
      <c r="Y129" s="31"/>
      <c r="Z129" s="31"/>
    </row>
    <row r="130">
      <c r="A130" s="25" t="s">
        <v>304</v>
      </c>
      <c r="B130" s="33" t="s">
        <v>411</v>
      </c>
      <c r="C130" s="10" t="s">
        <v>259</v>
      </c>
      <c r="D130" s="10" t="s">
        <v>377</v>
      </c>
      <c r="E130" s="34" t="s">
        <v>412</v>
      </c>
      <c r="F130" s="10" t="s">
        <v>261</v>
      </c>
      <c r="G130" s="34" t="s">
        <v>57</v>
      </c>
      <c r="H130" s="10" t="s">
        <v>426</v>
      </c>
      <c r="I130" s="10" t="s">
        <v>414</v>
      </c>
      <c r="J130" s="25" t="s">
        <v>397</v>
      </c>
      <c r="K130" s="35" t="s">
        <v>406</v>
      </c>
      <c r="L130" s="26" t="s">
        <v>22</v>
      </c>
      <c r="M130" s="29" t="s">
        <v>19</v>
      </c>
      <c r="N130" s="26" t="s">
        <v>23</v>
      </c>
      <c r="O130" s="31"/>
      <c r="P130" s="31"/>
      <c r="Q130" s="31"/>
      <c r="R130" s="31"/>
      <c r="S130" s="31"/>
      <c r="T130" s="31"/>
      <c r="U130" s="31"/>
      <c r="V130" s="31"/>
      <c r="W130" s="31"/>
      <c r="X130" s="31"/>
      <c r="Y130" s="31"/>
      <c r="Z130" s="31"/>
    </row>
    <row r="131">
      <c r="A131" s="25" t="s">
        <v>304</v>
      </c>
      <c r="B131" s="33" t="s">
        <v>411</v>
      </c>
      <c r="C131" s="10" t="s">
        <v>262</v>
      </c>
      <c r="D131" s="10" t="s">
        <v>377</v>
      </c>
      <c r="E131" s="34" t="s">
        <v>412</v>
      </c>
      <c r="F131" s="10" t="s">
        <v>264</v>
      </c>
      <c r="G131" s="34" t="s">
        <v>57</v>
      </c>
      <c r="H131" s="10" t="s">
        <v>427</v>
      </c>
      <c r="I131" s="10" t="s">
        <v>414</v>
      </c>
      <c r="J131" s="25" t="s">
        <v>397</v>
      </c>
      <c r="K131" s="35" t="s">
        <v>406</v>
      </c>
      <c r="L131" s="26" t="s">
        <v>22</v>
      </c>
      <c r="M131" s="29" t="s">
        <v>19</v>
      </c>
      <c r="N131" s="26" t="s">
        <v>23</v>
      </c>
      <c r="O131" s="31"/>
      <c r="P131" s="31"/>
      <c r="Q131" s="31"/>
      <c r="R131" s="31"/>
      <c r="S131" s="31"/>
      <c r="T131" s="31"/>
      <c r="U131" s="31"/>
      <c r="V131" s="31"/>
      <c r="W131" s="31"/>
      <c r="X131" s="31"/>
      <c r="Y131" s="31"/>
      <c r="Z131" s="31"/>
    </row>
    <row r="132">
      <c r="A132" s="25" t="s">
        <v>304</v>
      </c>
      <c r="B132" s="33" t="s">
        <v>411</v>
      </c>
      <c r="C132" s="10" t="s">
        <v>266</v>
      </c>
      <c r="D132" s="10" t="s">
        <v>358</v>
      </c>
      <c r="E132" s="34" t="s">
        <v>412</v>
      </c>
      <c r="F132" s="10" t="s">
        <v>268</v>
      </c>
      <c r="G132" s="34" t="s">
        <v>19</v>
      </c>
      <c r="H132" s="10" t="s">
        <v>428</v>
      </c>
      <c r="I132" s="10" t="s">
        <v>414</v>
      </c>
      <c r="J132" s="25" t="s">
        <v>397</v>
      </c>
      <c r="K132" s="35" t="s">
        <v>406</v>
      </c>
      <c r="L132" s="26" t="s">
        <v>22</v>
      </c>
      <c r="M132" s="29" t="s">
        <v>19</v>
      </c>
      <c r="N132" s="26" t="s">
        <v>23</v>
      </c>
      <c r="O132" s="31"/>
      <c r="P132" s="31"/>
      <c r="Q132" s="31"/>
      <c r="R132" s="31"/>
      <c r="S132" s="31"/>
      <c r="T132" s="31"/>
      <c r="U132" s="31"/>
      <c r="V132" s="31"/>
      <c r="W132" s="31"/>
      <c r="X132" s="31"/>
      <c r="Y132" s="31"/>
      <c r="Z132" s="31"/>
    </row>
    <row r="133">
      <c r="A133" s="25" t="s">
        <v>304</v>
      </c>
      <c r="B133" s="33" t="s">
        <v>411</v>
      </c>
      <c r="C133" s="10" t="s">
        <v>75</v>
      </c>
      <c r="D133" s="10" t="s">
        <v>377</v>
      </c>
      <c r="E133" s="34" t="s">
        <v>412</v>
      </c>
      <c r="F133" s="10" t="s">
        <v>321</v>
      </c>
      <c r="G133" s="34" t="s">
        <v>225</v>
      </c>
      <c r="H133" s="10" t="s">
        <v>429</v>
      </c>
      <c r="I133" s="10" t="s">
        <v>414</v>
      </c>
      <c r="J133" s="25" t="s">
        <v>397</v>
      </c>
      <c r="K133" s="35" t="s">
        <v>406</v>
      </c>
      <c r="L133" s="26" t="s">
        <v>22</v>
      </c>
      <c r="M133" s="29" t="s">
        <v>19</v>
      </c>
      <c r="N133" s="26" t="s">
        <v>23</v>
      </c>
      <c r="O133" s="31"/>
      <c r="P133" s="31"/>
      <c r="Q133" s="31"/>
      <c r="R133" s="31"/>
      <c r="S133" s="31"/>
      <c r="T133" s="31"/>
      <c r="U133" s="31"/>
      <c r="V133" s="31"/>
      <c r="W133" s="31"/>
      <c r="X133" s="31"/>
      <c r="Y133" s="31"/>
      <c r="Z133" s="31"/>
    </row>
    <row r="134">
      <c r="A134" s="25" t="s">
        <v>304</v>
      </c>
      <c r="B134" s="33" t="s">
        <v>411</v>
      </c>
      <c r="C134" s="10" t="s">
        <v>323</v>
      </c>
      <c r="D134" s="10" t="s">
        <v>377</v>
      </c>
      <c r="E134" s="34" t="s">
        <v>412</v>
      </c>
      <c r="F134" s="10" t="s">
        <v>325</v>
      </c>
      <c r="G134" s="34" t="s">
        <v>225</v>
      </c>
      <c r="H134" s="10" t="s">
        <v>430</v>
      </c>
      <c r="I134" s="10" t="s">
        <v>414</v>
      </c>
      <c r="J134" s="25" t="s">
        <v>397</v>
      </c>
      <c r="K134" s="35" t="s">
        <v>406</v>
      </c>
      <c r="L134" s="26" t="s">
        <v>22</v>
      </c>
      <c r="M134" s="29" t="s">
        <v>19</v>
      </c>
      <c r="N134" s="26" t="s">
        <v>23</v>
      </c>
      <c r="O134" s="31"/>
      <c r="P134" s="31"/>
      <c r="Q134" s="31"/>
      <c r="R134" s="31"/>
      <c r="S134" s="31"/>
      <c r="T134" s="31"/>
      <c r="U134" s="31"/>
      <c r="V134" s="31"/>
      <c r="W134" s="31"/>
      <c r="X134" s="31"/>
      <c r="Y134" s="31"/>
      <c r="Z134" s="31"/>
    </row>
    <row r="135">
      <c r="A135" s="25" t="s">
        <v>304</v>
      </c>
      <c r="B135" s="33" t="s">
        <v>411</v>
      </c>
      <c r="C135" s="10" t="s">
        <v>270</v>
      </c>
      <c r="D135" s="10" t="s">
        <v>358</v>
      </c>
      <c r="E135" s="34" t="s">
        <v>412</v>
      </c>
      <c r="F135" s="10" t="s">
        <v>272</v>
      </c>
      <c r="G135" s="34" t="s">
        <v>19</v>
      </c>
      <c r="H135" s="10" t="s">
        <v>431</v>
      </c>
      <c r="I135" s="10" t="s">
        <v>414</v>
      </c>
      <c r="J135" s="25" t="s">
        <v>397</v>
      </c>
      <c r="K135" s="35" t="s">
        <v>406</v>
      </c>
      <c r="L135" s="26" t="s">
        <v>22</v>
      </c>
      <c r="M135" s="29" t="s">
        <v>19</v>
      </c>
      <c r="N135" s="26" t="s">
        <v>23</v>
      </c>
      <c r="O135" s="31"/>
      <c r="P135" s="31"/>
      <c r="Q135" s="31"/>
      <c r="R135" s="31"/>
      <c r="S135" s="31"/>
      <c r="T135" s="31"/>
      <c r="U135" s="31"/>
      <c r="V135" s="31"/>
      <c r="W135" s="31"/>
      <c r="X135" s="31"/>
      <c r="Y135" s="31"/>
      <c r="Z135" s="31"/>
    </row>
    <row r="136">
      <c r="A136" s="25" t="s">
        <v>304</v>
      </c>
      <c r="B136" s="33" t="s">
        <v>411</v>
      </c>
      <c r="C136" s="10" t="s">
        <v>328</v>
      </c>
      <c r="D136" s="10" t="s">
        <v>358</v>
      </c>
      <c r="E136" s="34" t="s">
        <v>412</v>
      </c>
      <c r="F136" s="10" t="s">
        <v>330</v>
      </c>
      <c r="G136" s="34" t="s">
        <v>19</v>
      </c>
      <c r="H136" s="10" t="s">
        <v>432</v>
      </c>
      <c r="I136" s="10" t="s">
        <v>414</v>
      </c>
      <c r="J136" s="25" t="s">
        <v>397</v>
      </c>
      <c r="K136" s="35" t="s">
        <v>406</v>
      </c>
      <c r="L136" s="26" t="s">
        <v>22</v>
      </c>
      <c r="M136" s="29" t="s">
        <v>19</v>
      </c>
      <c r="N136" s="26" t="s">
        <v>23</v>
      </c>
      <c r="O136" s="31"/>
      <c r="P136" s="31"/>
      <c r="Q136" s="31"/>
      <c r="R136" s="31"/>
      <c r="S136" s="31"/>
      <c r="T136" s="31"/>
      <c r="U136" s="31"/>
      <c r="V136" s="31"/>
      <c r="W136" s="31"/>
      <c r="X136" s="31"/>
      <c r="Y136" s="31"/>
      <c r="Z136" s="31"/>
    </row>
    <row r="137">
      <c r="A137" s="25" t="s">
        <v>304</v>
      </c>
      <c r="B137" s="33" t="s">
        <v>411</v>
      </c>
      <c r="C137" s="10" t="s">
        <v>274</v>
      </c>
      <c r="D137" s="10" t="s">
        <v>358</v>
      </c>
      <c r="E137" s="34" t="s">
        <v>412</v>
      </c>
      <c r="F137" s="10" t="s">
        <v>276</v>
      </c>
      <c r="G137" s="34" t="s">
        <v>19</v>
      </c>
      <c r="H137" s="10" t="s">
        <v>433</v>
      </c>
      <c r="I137" s="10" t="s">
        <v>414</v>
      </c>
      <c r="J137" s="25" t="s">
        <v>397</v>
      </c>
      <c r="K137" s="35" t="s">
        <v>406</v>
      </c>
      <c r="L137" s="26" t="s">
        <v>22</v>
      </c>
      <c r="M137" s="29" t="s">
        <v>19</v>
      </c>
      <c r="N137" s="26" t="s">
        <v>23</v>
      </c>
      <c r="O137" s="31"/>
      <c r="P137" s="31"/>
      <c r="Q137" s="31"/>
      <c r="R137" s="31"/>
      <c r="S137" s="31"/>
      <c r="T137" s="31"/>
      <c r="U137" s="31"/>
      <c r="V137" s="31"/>
      <c r="W137" s="31"/>
      <c r="X137" s="31"/>
      <c r="Y137" s="31"/>
      <c r="Z137" s="31"/>
    </row>
    <row r="138">
      <c r="A138" s="25" t="s">
        <v>304</v>
      </c>
      <c r="B138" s="33" t="s">
        <v>411</v>
      </c>
      <c r="C138" s="10" t="s">
        <v>278</v>
      </c>
      <c r="D138" s="10" t="s">
        <v>358</v>
      </c>
      <c r="E138" s="34" t="s">
        <v>412</v>
      </c>
      <c r="F138" s="10" t="s">
        <v>280</v>
      </c>
      <c r="G138" s="34" t="s">
        <v>19</v>
      </c>
      <c r="H138" s="10" t="s">
        <v>434</v>
      </c>
      <c r="I138" s="10" t="s">
        <v>414</v>
      </c>
      <c r="J138" s="25" t="s">
        <v>397</v>
      </c>
      <c r="K138" s="35" t="s">
        <v>406</v>
      </c>
      <c r="L138" s="26" t="s">
        <v>22</v>
      </c>
      <c r="M138" s="29" t="s">
        <v>19</v>
      </c>
      <c r="N138" s="26" t="s">
        <v>23</v>
      </c>
      <c r="O138" s="31"/>
      <c r="P138" s="31"/>
      <c r="Q138" s="31"/>
      <c r="R138" s="31"/>
      <c r="S138" s="31"/>
      <c r="T138" s="31"/>
      <c r="U138" s="31"/>
      <c r="V138" s="31"/>
      <c r="W138" s="31"/>
      <c r="X138" s="31"/>
      <c r="Y138" s="31"/>
      <c r="Z138" s="31"/>
    </row>
    <row r="139">
      <c r="A139" s="25" t="s">
        <v>304</v>
      </c>
      <c r="B139" s="33" t="s">
        <v>411</v>
      </c>
      <c r="C139" s="10" t="s">
        <v>334</v>
      </c>
      <c r="D139" s="10" t="s">
        <v>358</v>
      </c>
      <c r="E139" s="34" t="s">
        <v>412</v>
      </c>
      <c r="F139" s="10" t="s">
        <v>335</v>
      </c>
      <c r="G139" s="34" t="s">
        <v>19</v>
      </c>
      <c r="H139" s="10" t="s">
        <v>435</v>
      </c>
      <c r="I139" s="10" t="s">
        <v>414</v>
      </c>
      <c r="J139" s="25" t="s">
        <v>397</v>
      </c>
      <c r="K139" s="35" t="s">
        <v>406</v>
      </c>
      <c r="L139" s="26" t="s">
        <v>22</v>
      </c>
      <c r="M139" s="29" t="s">
        <v>19</v>
      </c>
      <c r="N139" s="26" t="s">
        <v>23</v>
      </c>
      <c r="O139" s="31"/>
      <c r="P139" s="31"/>
      <c r="Q139" s="31"/>
      <c r="R139" s="31"/>
      <c r="S139" s="31"/>
      <c r="T139" s="31"/>
      <c r="U139" s="31"/>
      <c r="V139" s="31"/>
      <c r="W139" s="31"/>
      <c r="X139" s="31"/>
      <c r="Y139" s="31"/>
      <c r="Z139" s="31"/>
    </row>
    <row r="140">
      <c r="A140" s="25" t="s">
        <v>304</v>
      </c>
      <c r="B140" s="33" t="s">
        <v>411</v>
      </c>
      <c r="C140" s="10" t="s">
        <v>337</v>
      </c>
      <c r="D140" s="10" t="s">
        <v>377</v>
      </c>
      <c r="E140" s="34" t="s">
        <v>412</v>
      </c>
      <c r="F140" s="10" t="s">
        <v>339</v>
      </c>
      <c r="G140" s="34" t="s">
        <v>57</v>
      </c>
      <c r="H140" s="10" t="s">
        <v>436</v>
      </c>
      <c r="I140" s="10" t="s">
        <v>414</v>
      </c>
      <c r="J140" s="25" t="s">
        <v>397</v>
      </c>
      <c r="K140" s="35" t="s">
        <v>406</v>
      </c>
      <c r="L140" s="26" t="s">
        <v>22</v>
      </c>
      <c r="M140" s="29" t="s">
        <v>19</v>
      </c>
      <c r="N140" s="26" t="s">
        <v>23</v>
      </c>
      <c r="O140" s="31"/>
      <c r="P140" s="31"/>
      <c r="Q140" s="31"/>
      <c r="R140" s="31"/>
      <c r="S140" s="31"/>
      <c r="T140" s="31"/>
      <c r="U140" s="31"/>
      <c r="V140" s="31"/>
      <c r="W140" s="31"/>
      <c r="X140" s="31"/>
      <c r="Y140" s="31"/>
      <c r="Z140" s="31"/>
    </row>
    <row r="141">
      <c r="A141" s="25" t="s">
        <v>304</v>
      </c>
      <c r="B141" s="33" t="s">
        <v>411</v>
      </c>
      <c r="C141" s="10" t="s">
        <v>99</v>
      </c>
      <c r="D141" s="10" t="s">
        <v>358</v>
      </c>
      <c r="E141" s="34" t="s">
        <v>412</v>
      </c>
      <c r="F141" s="10" t="s">
        <v>283</v>
      </c>
      <c r="G141" s="34" t="s">
        <v>19</v>
      </c>
      <c r="H141" s="10" t="s">
        <v>437</v>
      </c>
      <c r="I141" s="10" t="s">
        <v>414</v>
      </c>
      <c r="J141" s="25" t="s">
        <v>397</v>
      </c>
      <c r="K141" s="35" t="s">
        <v>406</v>
      </c>
      <c r="L141" s="26" t="s">
        <v>22</v>
      </c>
      <c r="M141" s="29" t="s">
        <v>19</v>
      </c>
      <c r="N141" s="26" t="s">
        <v>23</v>
      </c>
      <c r="O141" s="31"/>
      <c r="P141" s="31"/>
      <c r="Q141" s="31"/>
      <c r="R141" s="31"/>
      <c r="S141" s="31"/>
      <c r="T141" s="31"/>
      <c r="U141" s="31"/>
      <c r="V141" s="31"/>
      <c r="W141" s="31"/>
      <c r="X141" s="31"/>
      <c r="Y141" s="31"/>
      <c r="Z141" s="31"/>
    </row>
    <row r="142">
      <c r="A142" s="25" t="s">
        <v>304</v>
      </c>
      <c r="B142" s="33" t="s">
        <v>411</v>
      </c>
      <c r="C142" s="10" t="s">
        <v>285</v>
      </c>
      <c r="D142" s="10" t="s">
        <v>358</v>
      </c>
      <c r="E142" s="34" t="s">
        <v>412</v>
      </c>
      <c r="F142" s="10" t="s">
        <v>287</v>
      </c>
      <c r="G142" s="34" t="s">
        <v>19</v>
      </c>
      <c r="H142" s="10" t="s">
        <v>438</v>
      </c>
      <c r="I142" s="10" t="s">
        <v>414</v>
      </c>
      <c r="J142" s="25" t="s">
        <v>397</v>
      </c>
      <c r="K142" s="35" t="s">
        <v>406</v>
      </c>
      <c r="L142" s="26" t="s">
        <v>22</v>
      </c>
      <c r="M142" s="29" t="s">
        <v>19</v>
      </c>
      <c r="N142" s="26" t="s">
        <v>23</v>
      </c>
      <c r="O142" s="31"/>
      <c r="P142" s="31"/>
      <c r="Q142" s="31"/>
      <c r="R142" s="31"/>
      <c r="S142" s="31"/>
      <c r="T142" s="31"/>
      <c r="U142" s="31"/>
      <c r="V142" s="31"/>
      <c r="W142" s="31"/>
      <c r="X142" s="31"/>
      <c r="Y142" s="31"/>
      <c r="Z142" s="31"/>
    </row>
    <row r="143">
      <c r="A143" s="25" t="s">
        <v>304</v>
      </c>
      <c r="B143" s="33" t="s">
        <v>411</v>
      </c>
      <c r="C143" s="10" t="s">
        <v>289</v>
      </c>
      <c r="D143" s="10" t="s">
        <v>358</v>
      </c>
      <c r="E143" s="34" t="s">
        <v>412</v>
      </c>
      <c r="F143" s="10" t="s">
        <v>291</v>
      </c>
      <c r="G143" s="34" t="s">
        <v>19</v>
      </c>
      <c r="H143" s="10" t="s">
        <v>439</v>
      </c>
      <c r="I143" s="10" t="s">
        <v>414</v>
      </c>
      <c r="J143" s="25" t="s">
        <v>397</v>
      </c>
      <c r="K143" s="35" t="s">
        <v>406</v>
      </c>
      <c r="L143" s="26" t="s">
        <v>22</v>
      </c>
      <c r="M143" s="29" t="s">
        <v>19</v>
      </c>
      <c r="N143" s="26" t="s">
        <v>23</v>
      </c>
      <c r="O143" s="31"/>
      <c r="P143" s="31"/>
      <c r="Q143" s="31"/>
      <c r="R143" s="31"/>
      <c r="S143" s="31"/>
      <c r="T143" s="31"/>
      <c r="U143" s="31"/>
      <c r="V143" s="31"/>
      <c r="W143" s="31"/>
      <c r="X143" s="31"/>
      <c r="Y143" s="31"/>
      <c r="Z143" s="31"/>
    </row>
    <row r="144">
      <c r="A144" s="25" t="s">
        <v>304</v>
      </c>
      <c r="B144" s="33" t="s">
        <v>411</v>
      </c>
      <c r="C144" s="10" t="s">
        <v>343</v>
      </c>
      <c r="D144" s="10" t="s">
        <v>358</v>
      </c>
      <c r="E144" s="34" t="s">
        <v>412</v>
      </c>
      <c r="F144" s="10" t="s">
        <v>345</v>
      </c>
      <c r="G144" s="34" t="s">
        <v>19</v>
      </c>
      <c r="H144" s="10" t="s">
        <v>440</v>
      </c>
      <c r="I144" s="10" t="s">
        <v>414</v>
      </c>
      <c r="J144" s="25" t="s">
        <v>397</v>
      </c>
      <c r="K144" s="35" t="s">
        <v>406</v>
      </c>
      <c r="L144" s="26" t="s">
        <v>22</v>
      </c>
      <c r="M144" s="29" t="s">
        <v>19</v>
      </c>
      <c r="N144" s="26" t="s">
        <v>23</v>
      </c>
      <c r="O144" s="31"/>
      <c r="P144" s="31"/>
      <c r="Q144" s="31"/>
      <c r="R144" s="31"/>
      <c r="S144" s="31"/>
      <c r="T144" s="31"/>
      <c r="U144" s="31"/>
      <c r="V144" s="31"/>
      <c r="W144" s="31"/>
      <c r="X144" s="31"/>
      <c r="Y144" s="31"/>
      <c r="Z144" s="31"/>
    </row>
    <row r="145">
      <c r="A145" s="25" t="s">
        <v>304</v>
      </c>
      <c r="B145" s="33" t="s">
        <v>411</v>
      </c>
      <c r="C145" s="10" t="s">
        <v>347</v>
      </c>
      <c r="D145" s="10" t="s">
        <v>358</v>
      </c>
      <c r="E145" s="34" t="s">
        <v>412</v>
      </c>
      <c r="F145" s="10" t="s">
        <v>294</v>
      </c>
      <c r="G145" s="34" t="s">
        <v>19</v>
      </c>
      <c r="H145" s="10" t="s">
        <v>441</v>
      </c>
      <c r="I145" s="10" t="s">
        <v>414</v>
      </c>
      <c r="J145" s="25" t="s">
        <v>397</v>
      </c>
      <c r="K145" s="35" t="s">
        <v>406</v>
      </c>
      <c r="L145" s="26" t="s">
        <v>22</v>
      </c>
      <c r="M145" s="29" t="s">
        <v>19</v>
      </c>
      <c r="N145" s="26" t="s">
        <v>23</v>
      </c>
      <c r="O145" s="31"/>
      <c r="P145" s="31"/>
      <c r="Q145" s="31"/>
      <c r="R145" s="31"/>
      <c r="S145" s="31"/>
      <c r="T145" s="31"/>
      <c r="U145" s="31"/>
      <c r="V145" s="31"/>
      <c r="W145" s="31"/>
      <c r="X145" s="31"/>
      <c r="Y145" s="31"/>
      <c r="Z145" s="31"/>
    </row>
    <row r="146">
      <c r="A146" s="25" t="s">
        <v>304</v>
      </c>
      <c r="B146" s="33" t="s">
        <v>411</v>
      </c>
      <c r="C146" s="10" t="s">
        <v>105</v>
      </c>
      <c r="D146" s="10" t="s">
        <v>358</v>
      </c>
      <c r="E146" s="34" t="s">
        <v>412</v>
      </c>
      <c r="F146" s="10" t="s">
        <v>297</v>
      </c>
      <c r="G146" s="34" t="s">
        <v>19</v>
      </c>
      <c r="H146" s="10" t="s">
        <v>442</v>
      </c>
      <c r="I146" s="10" t="s">
        <v>414</v>
      </c>
      <c r="J146" s="25" t="s">
        <v>397</v>
      </c>
      <c r="K146" s="35" t="s">
        <v>406</v>
      </c>
      <c r="L146" s="26" t="s">
        <v>22</v>
      </c>
      <c r="M146" s="29" t="s">
        <v>19</v>
      </c>
      <c r="N146" s="26" t="s">
        <v>23</v>
      </c>
      <c r="O146" s="31"/>
      <c r="P146" s="31"/>
      <c r="Q146" s="31"/>
      <c r="R146" s="31"/>
      <c r="S146" s="31"/>
      <c r="T146" s="31"/>
      <c r="U146" s="31"/>
      <c r="V146" s="31"/>
      <c r="W146" s="31"/>
      <c r="X146" s="31"/>
      <c r="Y146" s="31"/>
      <c r="Z146" s="31"/>
    </row>
    <row r="147">
      <c r="A147" s="25" t="s">
        <v>304</v>
      </c>
      <c r="B147" s="33" t="s">
        <v>411</v>
      </c>
      <c r="C147" s="10" t="s">
        <v>350</v>
      </c>
      <c r="D147" s="10" t="s">
        <v>358</v>
      </c>
      <c r="E147" s="34" t="s">
        <v>412</v>
      </c>
      <c r="F147" s="10" t="s">
        <v>351</v>
      </c>
      <c r="G147" s="34" t="s">
        <v>19</v>
      </c>
      <c r="H147" s="10" t="s">
        <v>435</v>
      </c>
      <c r="I147" s="10" t="s">
        <v>414</v>
      </c>
      <c r="J147" s="25" t="s">
        <v>397</v>
      </c>
      <c r="K147" s="35" t="s">
        <v>406</v>
      </c>
      <c r="L147" s="26" t="s">
        <v>22</v>
      </c>
      <c r="M147" s="29" t="s">
        <v>19</v>
      </c>
      <c r="N147" s="26" t="s">
        <v>23</v>
      </c>
      <c r="O147" s="31"/>
      <c r="P147" s="31"/>
      <c r="Q147" s="31"/>
      <c r="R147" s="31"/>
      <c r="S147" s="31"/>
      <c r="T147" s="31"/>
      <c r="U147" s="31"/>
      <c r="V147" s="31"/>
      <c r="W147" s="31"/>
      <c r="X147" s="31"/>
      <c r="Y147" s="31"/>
      <c r="Z147" s="31"/>
    </row>
    <row r="148">
      <c r="A148" s="25" t="s">
        <v>304</v>
      </c>
      <c r="B148" s="33" t="s">
        <v>411</v>
      </c>
      <c r="C148" s="10" t="s">
        <v>353</v>
      </c>
      <c r="D148" s="10" t="s">
        <v>358</v>
      </c>
      <c r="E148" s="34" t="s">
        <v>412</v>
      </c>
      <c r="F148" s="10" t="s">
        <v>355</v>
      </c>
      <c r="G148" s="34" t="s">
        <v>19</v>
      </c>
      <c r="H148" s="10" t="s">
        <v>443</v>
      </c>
      <c r="I148" s="10" t="s">
        <v>414</v>
      </c>
      <c r="J148" s="25" t="s">
        <v>397</v>
      </c>
      <c r="K148" s="35" t="s">
        <v>406</v>
      </c>
      <c r="L148" s="26" t="s">
        <v>22</v>
      </c>
      <c r="M148" s="29" t="s">
        <v>19</v>
      </c>
      <c r="N148" s="26" t="s">
        <v>23</v>
      </c>
      <c r="O148" s="31"/>
      <c r="P148" s="31"/>
      <c r="Q148" s="31"/>
      <c r="R148" s="31"/>
      <c r="S148" s="31"/>
      <c r="T148" s="31"/>
      <c r="U148" s="31"/>
      <c r="V148" s="31"/>
      <c r="W148" s="31"/>
      <c r="X148" s="31"/>
      <c r="Y148" s="31"/>
      <c r="Z148" s="31"/>
    </row>
    <row r="149">
      <c r="A149" s="25" t="s">
        <v>304</v>
      </c>
      <c r="B149" s="36" t="s">
        <v>444</v>
      </c>
      <c r="C149" s="10" t="s">
        <v>213</v>
      </c>
      <c r="D149" s="10" t="s">
        <v>358</v>
      </c>
      <c r="E149" s="10" t="s">
        <v>445</v>
      </c>
      <c r="F149" s="10" t="s">
        <v>215</v>
      </c>
      <c r="G149" s="10" t="s">
        <v>19</v>
      </c>
      <c r="H149" s="10" t="s">
        <v>413</v>
      </c>
      <c r="I149" s="10" t="s">
        <v>414</v>
      </c>
      <c r="J149" s="25" t="s">
        <v>397</v>
      </c>
      <c r="K149" s="35" t="s">
        <v>444</v>
      </c>
      <c r="L149" s="26" t="s">
        <v>22</v>
      </c>
      <c r="M149" s="29" t="s">
        <v>19</v>
      </c>
      <c r="N149" s="26" t="s">
        <v>23</v>
      </c>
      <c r="O149" s="31"/>
      <c r="P149" s="31"/>
      <c r="Q149" s="31"/>
      <c r="R149" s="31"/>
      <c r="S149" s="31"/>
      <c r="T149" s="31"/>
      <c r="U149" s="31"/>
      <c r="V149" s="31"/>
      <c r="W149" s="31"/>
      <c r="X149" s="31"/>
      <c r="Y149" s="31"/>
      <c r="Z149" s="31"/>
    </row>
    <row r="150">
      <c r="A150" s="25" t="s">
        <v>304</v>
      </c>
      <c r="B150" s="36" t="s">
        <v>444</v>
      </c>
      <c r="C150" s="10" t="s">
        <v>66</v>
      </c>
      <c r="D150" s="10" t="s">
        <v>358</v>
      </c>
      <c r="E150" s="10" t="s">
        <v>445</v>
      </c>
      <c r="F150" s="10" t="s">
        <v>220</v>
      </c>
      <c r="G150" s="10" t="s">
        <v>19</v>
      </c>
      <c r="H150" s="10" t="s">
        <v>415</v>
      </c>
      <c r="I150" s="10" t="s">
        <v>414</v>
      </c>
      <c r="J150" s="25" t="s">
        <v>397</v>
      </c>
      <c r="K150" s="35" t="s">
        <v>444</v>
      </c>
      <c r="L150" s="26" t="s">
        <v>22</v>
      </c>
      <c r="M150" s="29" t="s">
        <v>19</v>
      </c>
      <c r="N150" s="26" t="s">
        <v>23</v>
      </c>
      <c r="O150" s="31"/>
      <c r="P150" s="31"/>
      <c r="Q150" s="31"/>
      <c r="R150" s="31"/>
      <c r="S150" s="31"/>
      <c r="T150" s="31"/>
      <c r="U150" s="31"/>
      <c r="V150" s="31"/>
      <c r="W150" s="31"/>
      <c r="X150" s="31"/>
      <c r="Y150" s="31"/>
      <c r="Z150" s="31"/>
    </row>
    <row r="151">
      <c r="A151" s="25" t="s">
        <v>304</v>
      </c>
      <c r="B151" s="36" t="s">
        <v>444</v>
      </c>
      <c r="C151" s="10" t="s">
        <v>226</v>
      </c>
      <c r="D151" s="10" t="s">
        <v>358</v>
      </c>
      <c r="E151" s="10" t="s">
        <v>445</v>
      </c>
      <c r="F151" s="10" t="s">
        <v>228</v>
      </c>
      <c r="G151" s="10" t="s">
        <v>19</v>
      </c>
      <c r="H151" s="10" t="s">
        <v>416</v>
      </c>
      <c r="I151" s="10" t="s">
        <v>414</v>
      </c>
      <c r="J151" s="25" t="s">
        <v>397</v>
      </c>
      <c r="K151" s="35" t="s">
        <v>444</v>
      </c>
      <c r="L151" s="26" t="s">
        <v>22</v>
      </c>
      <c r="M151" s="29" t="s">
        <v>19</v>
      </c>
      <c r="N151" s="26" t="s">
        <v>23</v>
      </c>
      <c r="O151" s="31"/>
      <c r="P151" s="31"/>
      <c r="Q151" s="31"/>
      <c r="R151" s="31"/>
      <c r="S151" s="31"/>
      <c r="T151" s="31"/>
      <c r="U151" s="31"/>
      <c r="V151" s="31"/>
      <c r="W151" s="31"/>
      <c r="X151" s="31"/>
      <c r="Y151" s="31"/>
      <c r="Z151" s="31"/>
    </row>
    <row r="152">
      <c r="A152" s="25" t="s">
        <v>304</v>
      </c>
      <c r="B152" s="36" t="s">
        <v>444</v>
      </c>
      <c r="C152" s="10" t="s">
        <v>96</v>
      </c>
      <c r="D152" s="10" t="s">
        <v>358</v>
      </c>
      <c r="E152" s="10" t="s">
        <v>445</v>
      </c>
      <c r="F152" s="10" t="s">
        <v>231</v>
      </c>
      <c r="G152" s="10" t="s">
        <v>19</v>
      </c>
      <c r="H152" s="10" t="s">
        <v>417</v>
      </c>
      <c r="I152" s="10" t="s">
        <v>414</v>
      </c>
      <c r="J152" s="25" t="s">
        <v>397</v>
      </c>
      <c r="K152" s="35" t="s">
        <v>444</v>
      </c>
      <c r="L152" s="26" t="s">
        <v>22</v>
      </c>
      <c r="M152" s="29" t="s">
        <v>19</v>
      </c>
      <c r="N152" s="26" t="s">
        <v>23</v>
      </c>
      <c r="O152" s="31"/>
      <c r="P152" s="31"/>
      <c r="Q152" s="31"/>
      <c r="R152" s="31"/>
      <c r="S152" s="31"/>
      <c r="T152" s="31"/>
      <c r="U152" s="31"/>
      <c r="V152" s="31"/>
      <c r="W152" s="31"/>
      <c r="X152" s="31"/>
      <c r="Y152" s="31"/>
      <c r="Z152" s="31"/>
    </row>
    <row r="153">
      <c r="A153" s="25" t="s">
        <v>304</v>
      </c>
      <c r="B153" s="36" t="s">
        <v>444</v>
      </c>
      <c r="C153" s="10" t="s">
        <v>233</v>
      </c>
      <c r="D153" s="10" t="s">
        <v>358</v>
      </c>
      <c r="E153" s="10" t="s">
        <v>445</v>
      </c>
      <c r="F153" s="10" t="s">
        <v>365</v>
      </c>
      <c r="G153" s="10" t="s">
        <v>19</v>
      </c>
      <c r="H153" s="10" t="s">
        <v>418</v>
      </c>
      <c r="I153" s="10" t="s">
        <v>414</v>
      </c>
      <c r="J153" s="25" t="s">
        <v>397</v>
      </c>
      <c r="K153" s="35" t="s">
        <v>444</v>
      </c>
      <c r="L153" s="26" t="s">
        <v>22</v>
      </c>
      <c r="M153" s="29" t="s">
        <v>19</v>
      </c>
      <c r="N153" s="26" t="s">
        <v>23</v>
      </c>
      <c r="O153" s="31"/>
      <c r="P153" s="31"/>
      <c r="Q153" s="31"/>
      <c r="R153" s="31"/>
      <c r="S153" s="31"/>
      <c r="T153" s="31"/>
      <c r="U153" s="31"/>
      <c r="V153" s="31"/>
      <c r="W153" s="31"/>
      <c r="X153" s="31"/>
      <c r="Y153" s="31"/>
      <c r="Z153" s="31"/>
    </row>
    <row r="154">
      <c r="A154" s="25" t="s">
        <v>304</v>
      </c>
      <c r="B154" s="36" t="s">
        <v>444</v>
      </c>
      <c r="C154" s="10" t="s">
        <v>237</v>
      </c>
      <c r="D154" s="10" t="s">
        <v>358</v>
      </c>
      <c r="E154" s="10" t="s">
        <v>445</v>
      </c>
      <c r="F154" s="10" t="s">
        <v>239</v>
      </c>
      <c r="G154" s="10" t="s">
        <v>19</v>
      </c>
      <c r="H154" s="10" t="s">
        <v>419</v>
      </c>
      <c r="I154" s="10" t="s">
        <v>414</v>
      </c>
      <c r="J154" s="25" t="s">
        <v>397</v>
      </c>
      <c r="K154" s="35" t="s">
        <v>444</v>
      </c>
      <c r="L154" s="26" t="s">
        <v>22</v>
      </c>
      <c r="M154" s="29" t="s">
        <v>19</v>
      </c>
      <c r="N154" s="26" t="s">
        <v>23</v>
      </c>
      <c r="O154" s="31"/>
      <c r="P154" s="31"/>
      <c r="Q154" s="31"/>
      <c r="R154" s="31"/>
      <c r="S154" s="31"/>
      <c r="T154" s="31"/>
      <c r="U154" s="31"/>
      <c r="V154" s="31"/>
      <c r="W154" s="31"/>
      <c r="X154" s="31"/>
      <c r="Y154" s="31"/>
      <c r="Z154" s="31"/>
    </row>
    <row r="155">
      <c r="A155" s="25" t="s">
        <v>304</v>
      </c>
      <c r="B155" s="36" t="s">
        <v>444</v>
      </c>
      <c r="C155" s="10" t="s">
        <v>241</v>
      </c>
      <c r="D155" s="10" t="s">
        <v>358</v>
      </c>
      <c r="E155" s="10" t="s">
        <v>445</v>
      </c>
      <c r="F155" s="10" t="s">
        <v>243</v>
      </c>
      <c r="G155" s="10" t="s">
        <v>19</v>
      </c>
      <c r="H155" s="10" t="s">
        <v>420</v>
      </c>
      <c r="I155" s="10" t="s">
        <v>414</v>
      </c>
      <c r="J155" s="25" t="s">
        <v>397</v>
      </c>
      <c r="K155" s="35" t="s">
        <v>444</v>
      </c>
      <c r="L155" s="26" t="s">
        <v>22</v>
      </c>
      <c r="M155" s="29" t="s">
        <v>19</v>
      </c>
      <c r="N155" s="26" t="s">
        <v>23</v>
      </c>
      <c r="O155" s="31"/>
      <c r="P155" s="31"/>
      <c r="Q155" s="31"/>
      <c r="R155" s="31"/>
      <c r="S155" s="31"/>
      <c r="T155" s="31"/>
      <c r="U155" s="31"/>
      <c r="V155" s="31"/>
      <c r="W155" s="31"/>
      <c r="X155" s="31"/>
      <c r="Y155" s="31"/>
      <c r="Z155" s="31"/>
    </row>
    <row r="156">
      <c r="A156" s="25" t="s">
        <v>304</v>
      </c>
      <c r="B156" s="36" t="s">
        <v>444</v>
      </c>
      <c r="C156" s="10" t="s">
        <v>245</v>
      </c>
      <c r="D156" s="10" t="s">
        <v>358</v>
      </c>
      <c r="E156" s="10" t="s">
        <v>445</v>
      </c>
      <c r="F156" s="10" t="s">
        <v>371</v>
      </c>
      <c r="G156" s="10" t="s">
        <v>19</v>
      </c>
      <c r="H156" s="10" t="s">
        <v>421</v>
      </c>
      <c r="I156" s="10" t="s">
        <v>414</v>
      </c>
      <c r="J156" s="25" t="s">
        <v>397</v>
      </c>
      <c r="K156" s="35" t="s">
        <v>444</v>
      </c>
      <c r="L156" s="26" t="s">
        <v>22</v>
      </c>
      <c r="M156" s="29" t="s">
        <v>19</v>
      </c>
      <c r="N156" s="26" t="s">
        <v>23</v>
      </c>
      <c r="O156" s="31"/>
      <c r="P156" s="31"/>
      <c r="Q156" s="31"/>
      <c r="R156" s="31"/>
      <c r="S156" s="31"/>
      <c r="T156" s="31"/>
      <c r="U156" s="31"/>
      <c r="V156" s="31"/>
      <c r="W156" s="31"/>
      <c r="X156" s="31"/>
      <c r="Y156" s="31"/>
      <c r="Z156" s="31"/>
    </row>
    <row r="157">
      <c r="A157" s="25" t="s">
        <v>304</v>
      </c>
      <c r="B157" s="36" t="s">
        <v>444</v>
      </c>
      <c r="C157" s="10" t="s">
        <v>314</v>
      </c>
      <c r="D157" s="10" t="s">
        <v>358</v>
      </c>
      <c r="E157" s="10" t="s">
        <v>445</v>
      </c>
      <c r="F157" s="10" t="s">
        <v>316</v>
      </c>
      <c r="G157" s="10" t="s">
        <v>19</v>
      </c>
      <c r="H157" s="10" t="s">
        <v>422</v>
      </c>
      <c r="I157" s="10" t="s">
        <v>414</v>
      </c>
      <c r="J157" s="25" t="s">
        <v>397</v>
      </c>
      <c r="K157" s="35" t="s">
        <v>444</v>
      </c>
      <c r="L157" s="26" t="s">
        <v>22</v>
      </c>
      <c r="M157" s="29" t="s">
        <v>19</v>
      </c>
      <c r="N157" s="26" t="s">
        <v>23</v>
      </c>
      <c r="O157" s="31"/>
      <c r="P157" s="31"/>
      <c r="Q157" s="31"/>
      <c r="R157" s="31"/>
      <c r="S157" s="31"/>
      <c r="T157" s="31"/>
      <c r="U157" s="31"/>
      <c r="V157" s="31"/>
      <c r="W157" s="31"/>
      <c r="X157" s="31"/>
      <c r="Y157" s="31"/>
      <c r="Z157" s="31"/>
    </row>
    <row r="158">
      <c r="A158" s="25" t="s">
        <v>304</v>
      </c>
      <c r="B158" s="36" t="s">
        <v>444</v>
      </c>
      <c r="C158" s="10" t="s">
        <v>197</v>
      </c>
      <c r="D158" s="10" t="s">
        <v>401</v>
      </c>
      <c r="E158" s="10" t="s">
        <v>445</v>
      </c>
      <c r="F158" s="10" t="s">
        <v>223</v>
      </c>
      <c r="G158" s="10" t="s">
        <v>225</v>
      </c>
      <c r="H158" s="10" t="s">
        <v>423</v>
      </c>
      <c r="I158" s="10" t="s">
        <v>414</v>
      </c>
      <c r="J158" s="25" t="s">
        <v>397</v>
      </c>
      <c r="K158" s="35" t="s">
        <v>444</v>
      </c>
      <c r="L158" s="26" t="s">
        <v>22</v>
      </c>
      <c r="M158" s="29" t="s">
        <v>19</v>
      </c>
      <c r="N158" s="26" t="s">
        <v>23</v>
      </c>
      <c r="O158" s="31"/>
      <c r="P158" s="31"/>
      <c r="Q158" s="31"/>
      <c r="R158" s="31"/>
      <c r="S158" s="31"/>
      <c r="T158" s="31"/>
      <c r="U158" s="31"/>
      <c r="V158" s="31"/>
      <c r="W158" s="31"/>
      <c r="X158" s="31"/>
      <c r="Y158" s="31"/>
      <c r="Z158" s="31"/>
    </row>
    <row r="159">
      <c r="A159" s="25" t="s">
        <v>304</v>
      </c>
      <c r="B159" s="36" t="s">
        <v>444</v>
      </c>
      <c r="C159" s="10" t="s">
        <v>249</v>
      </c>
      <c r="D159" s="10" t="s">
        <v>401</v>
      </c>
      <c r="E159" s="10" t="s">
        <v>445</v>
      </c>
      <c r="F159" s="10" t="s">
        <v>251</v>
      </c>
      <c r="G159" s="10" t="s">
        <v>253</v>
      </c>
      <c r="H159" s="10" t="s">
        <v>424</v>
      </c>
      <c r="I159" s="10" t="s">
        <v>414</v>
      </c>
      <c r="J159" s="25" t="s">
        <v>397</v>
      </c>
      <c r="K159" s="35" t="s">
        <v>444</v>
      </c>
      <c r="L159" s="26" t="s">
        <v>22</v>
      </c>
      <c r="M159" s="29" t="s">
        <v>19</v>
      </c>
      <c r="N159" s="26" t="s">
        <v>23</v>
      </c>
      <c r="O159" s="31"/>
      <c r="P159" s="31"/>
      <c r="Q159" s="31"/>
      <c r="R159" s="31"/>
      <c r="S159" s="31"/>
      <c r="T159" s="31"/>
      <c r="U159" s="31"/>
      <c r="V159" s="31"/>
      <c r="W159" s="31"/>
      <c r="X159" s="31"/>
      <c r="Y159" s="31"/>
      <c r="Z159" s="31"/>
    </row>
    <row r="160">
      <c r="A160" s="25" t="s">
        <v>304</v>
      </c>
      <c r="B160" s="36" t="s">
        <v>444</v>
      </c>
      <c r="C160" s="10" t="s">
        <v>254</v>
      </c>
      <c r="D160" s="10" t="s">
        <v>401</v>
      </c>
      <c r="E160" s="10" t="s">
        <v>445</v>
      </c>
      <c r="F160" s="10" t="s">
        <v>256</v>
      </c>
      <c r="G160" s="10" t="s">
        <v>258</v>
      </c>
      <c r="H160" s="10" t="s">
        <v>425</v>
      </c>
      <c r="I160" s="10" t="s">
        <v>414</v>
      </c>
      <c r="J160" s="25" t="s">
        <v>397</v>
      </c>
      <c r="K160" s="35" t="s">
        <v>444</v>
      </c>
      <c r="L160" s="26" t="s">
        <v>22</v>
      </c>
      <c r="M160" s="29" t="s">
        <v>19</v>
      </c>
      <c r="N160" s="26" t="s">
        <v>23</v>
      </c>
      <c r="O160" s="31"/>
      <c r="P160" s="31"/>
      <c r="Q160" s="31"/>
      <c r="R160" s="31"/>
      <c r="S160" s="31"/>
      <c r="T160" s="31"/>
      <c r="U160" s="31"/>
      <c r="V160" s="31"/>
      <c r="W160" s="31"/>
      <c r="X160" s="31"/>
      <c r="Y160" s="31"/>
      <c r="Z160" s="31"/>
    </row>
    <row r="161">
      <c r="A161" s="25" t="s">
        <v>304</v>
      </c>
      <c r="B161" s="36" t="s">
        <v>444</v>
      </c>
      <c r="C161" s="10" t="s">
        <v>259</v>
      </c>
      <c r="D161" s="10" t="s">
        <v>377</v>
      </c>
      <c r="E161" s="10" t="s">
        <v>445</v>
      </c>
      <c r="F161" s="10" t="s">
        <v>261</v>
      </c>
      <c r="G161" s="10" t="s">
        <v>57</v>
      </c>
      <c r="H161" s="10" t="s">
        <v>426</v>
      </c>
      <c r="I161" s="10" t="s">
        <v>414</v>
      </c>
      <c r="J161" s="25" t="s">
        <v>397</v>
      </c>
      <c r="K161" s="35" t="s">
        <v>444</v>
      </c>
      <c r="L161" s="26" t="s">
        <v>22</v>
      </c>
      <c r="M161" s="29" t="s">
        <v>19</v>
      </c>
      <c r="N161" s="26" t="s">
        <v>23</v>
      </c>
      <c r="O161" s="31"/>
      <c r="P161" s="31"/>
      <c r="Q161" s="31"/>
      <c r="R161" s="31"/>
      <c r="S161" s="31"/>
      <c r="T161" s="31"/>
      <c r="U161" s="31"/>
      <c r="V161" s="31"/>
      <c r="W161" s="31"/>
      <c r="X161" s="31"/>
      <c r="Y161" s="31"/>
      <c r="Z161" s="31"/>
    </row>
    <row r="162">
      <c r="A162" s="25" t="s">
        <v>304</v>
      </c>
      <c r="B162" s="36" t="s">
        <v>444</v>
      </c>
      <c r="C162" s="10" t="s">
        <v>262</v>
      </c>
      <c r="D162" s="10" t="s">
        <v>377</v>
      </c>
      <c r="E162" s="10" t="s">
        <v>445</v>
      </c>
      <c r="F162" s="10" t="s">
        <v>264</v>
      </c>
      <c r="G162" s="10" t="s">
        <v>57</v>
      </c>
      <c r="H162" s="10" t="s">
        <v>427</v>
      </c>
      <c r="I162" s="10" t="s">
        <v>414</v>
      </c>
      <c r="J162" s="25" t="s">
        <v>397</v>
      </c>
      <c r="K162" s="35" t="s">
        <v>444</v>
      </c>
      <c r="L162" s="26" t="s">
        <v>22</v>
      </c>
      <c r="M162" s="29" t="s">
        <v>19</v>
      </c>
      <c r="N162" s="26" t="s">
        <v>23</v>
      </c>
      <c r="O162" s="31"/>
      <c r="P162" s="31"/>
      <c r="Q162" s="31"/>
      <c r="R162" s="31"/>
      <c r="S162" s="31"/>
      <c r="T162" s="31"/>
      <c r="U162" s="31"/>
      <c r="V162" s="31"/>
      <c r="W162" s="31"/>
      <c r="X162" s="31"/>
      <c r="Y162" s="31"/>
      <c r="Z162" s="31"/>
    </row>
    <row r="163">
      <c r="A163" s="25" t="s">
        <v>304</v>
      </c>
      <c r="B163" s="36" t="s">
        <v>444</v>
      </c>
      <c r="C163" s="10" t="s">
        <v>266</v>
      </c>
      <c r="D163" s="10" t="s">
        <v>358</v>
      </c>
      <c r="E163" s="10" t="s">
        <v>445</v>
      </c>
      <c r="F163" s="10" t="s">
        <v>268</v>
      </c>
      <c r="G163" s="10" t="s">
        <v>19</v>
      </c>
      <c r="H163" s="10" t="s">
        <v>428</v>
      </c>
      <c r="I163" s="10" t="s">
        <v>414</v>
      </c>
      <c r="J163" s="25" t="s">
        <v>397</v>
      </c>
      <c r="K163" s="35" t="s">
        <v>444</v>
      </c>
      <c r="L163" s="26" t="s">
        <v>22</v>
      </c>
      <c r="M163" s="29" t="s">
        <v>19</v>
      </c>
      <c r="N163" s="26" t="s">
        <v>23</v>
      </c>
      <c r="O163" s="31"/>
      <c r="P163" s="31"/>
      <c r="Q163" s="31"/>
      <c r="R163" s="31"/>
      <c r="S163" s="31"/>
      <c r="T163" s="31"/>
      <c r="U163" s="31"/>
      <c r="V163" s="31"/>
      <c r="W163" s="31"/>
      <c r="X163" s="31"/>
      <c r="Y163" s="31"/>
      <c r="Z163" s="31"/>
    </row>
    <row r="164">
      <c r="A164" s="25" t="s">
        <v>304</v>
      </c>
      <c r="B164" s="36" t="s">
        <v>444</v>
      </c>
      <c r="C164" s="10" t="s">
        <v>75</v>
      </c>
      <c r="D164" s="10" t="s">
        <v>377</v>
      </c>
      <c r="E164" s="10" t="s">
        <v>445</v>
      </c>
      <c r="F164" s="10" t="s">
        <v>321</v>
      </c>
      <c r="G164" s="10" t="s">
        <v>225</v>
      </c>
      <c r="H164" s="10" t="s">
        <v>429</v>
      </c>
      <c r="I164" s="10" t="s">
        <v>414</v>
      </c>
      <c r="J164" s="25" t="s">
        <v>397</v>
      </c>
      <c r="K164" s="35" t="s">
        <v>444</v>
      </c>
      <c r="L164" s="26" t="s">
        <v>22</v>
      </c>
      <c r="M164" s="29" t="s">
        <v>19</v>
      </c>
      <c r="N164" s="26" t="s">
        <v>23</v>
      </c>
      <c r="O164" s="31"/>
      <c r="P164" s="31"/>
      <c r="Q164" s="31"/>
      <c r="R164" s="31"/>
      <c r="S164" s="31"/>
      <c r="T164" s="31"/>
      <c r="U164" s="31"/>
      <c r="V164" s="31"/>
      <c r="W164" s="31"/>
      <c r="X164" s="31"/>
      <c r="Y164" s="31"/>
      <c r="Z164" s="31"/>
    </row>
    <row r="165">
      <c r="A165" s="25" t="s">
        <v>304</v>
      </c>
      <c r="B165" s="36" t="s">
        <v>444</v>
      </c>
      <c r="C165" s="10" t="s">
        <v>323</v>
      </c>
      <c r="D165" s="10" t="s">
        <v>377</v>
      </c>
      <c r="E165" s="10" t="s">
        <v>445</v>
      </c>
      <c r="F165" s="10" t="s">
        <v>325</v>
      </c>
      <c r="G165" s="10" t="s">
        <v>225</v>
      </c>
      <c r="H165" s="10" t="s">
        <v>430</v>
      </c>
      <c r="I165" s="10" t="s">
        <v>414</v>
      </c>
      <c r="J165" s="25" t="s">
        <v>397</v>
      </c>
      <c r="K165" s="35" t="s">
        <v>444</v>
      </c>
      <c r="L165" s="26" t="s">
        <v>22</v>
      </c>
      <c r="M165" s="29" t="s">
        <v>19</v>
      </c>
      <c r="N165" s="26" t="s">
        <v>23</v>
      </c>
      <c r="O165" s="31"/>
      <c r="P165" s="31"/>
      <c r="Q165" s="31"/>
      <c r="R165" s="31"/>
      <c r="S165" s="31"/>
      <c r="T165" s="31"/>
      <c r="U165" s="31"/>
      <c r="V165" s="31"/>
      <c r="W165" s="31"/>
      <c r="X165" s="31"/>
      <c r="Y165" s="31"/>
      <c r="Z165" s="31"/>
    </row>
    <row r="166">
      <c r="A166" s="25" t="s">
        <v>304</v>
      </c>
      <c r="B166" s="36" t="s">
        <v>444</v>
      </c>
      <c r="C166" s="10" t="s">
        <v>270</v>
      </c>
      <c r="D166" s="10" t="s">
        <v>358</v>
      </c>
      <c r="E166" s="10" t="s">
        <v>445</v>
      </c>
      <c r="F166" s="10" t="s">
        <v>272</v>
      </c>
      <c r="G166" s="10" t="s">
        <v>19</v>
      </c>
      <c r="H166" s="10" t="s">
        <v>431</v>
      </c>
      <c r="I166" s="10" t="s">
        <v>414</v>
      </c>
      <c r="J166" s="25" t="s">
        <v>397</v>
      </c>
      <c r="K166" s="35" t="s">
        <v>444</v>
      </c>
      <c r="L166" s="26" t="s">
        <v>22</v>
      </c>
      <c r="M166" s="29" t="s">
        <v>19</v>
      </c>
      <c r="N166" s="26" t="s">
        <v>23</v>
      </c>
      <c r="O166" s="31"/>
      <c r="P166" s="31"/>
      <c r="Q166" s="31"/>
      <c r="R166" s="31"/>
      <c r="S166" s="31"/>
      <c r="T166" s="31"/>
      <c r="U166" s="31"/>
      <c r="V166" s="31"/>
      <c r="W166" s="31"/>
      <c r="X166" s="31"/>
      <c r="Y166" s="31"/>
      <c r="Z166" s="31"/>
    </row>
    <row r="167">
      <c r="A167" s="25" t="s">
        <v>304</v>
      </c>
      <c r="B167" s="36" t="s">
        <v>444</v>
      </c>
      <c r="C167" s="10" t="s">
        <v>328</v>
      </c>
      <c r="D167" s="10" t="s">
        <v>358</v>
      </c>
      <c r="E167" s="10" t="s">
        <v>445</v>
      </c>
      <c r="F167" s="10" t="s">
        <v>330</v>
      </c>
      <c r="G167" s="10" t="s">
        <v>19</v>
      </c>
      <c r="H167" s="10" t="s">
        <v>432</v>
      </c>
      <c r="I167" s="10" t="s">
        <v>414</v>
      </c>
      <c r="J167" s="25" t="s">
        <v>397</v>
      </c>
      <c r="K167" s="35" t="s">
        <v>444</v>
      </c>
      <c r="L167" s="26" t="s">
        <v>22</v>
      </c>
      <c r="M167" s="29" t="s">
        <v>19</v>
      </c>
      <c r="N167" s="26" t="s">
        <v>23</v>
      </c>
      <c r="O167" s="31"/>
      <c r="P167" s="31"/>
      <c r="Q167" s="31"/>
      <c r="R167" s="31"/>
      <c r="S167" s="31"/>
      <c r="T167" s="31"/>
      <c r="U167" s="31"/>
      <c r="V167" s="31"/>
      <c r="W167" s="31"/>
      <c r="X167" s="31"/>
      <c r="Y167" s="31"/>
      <c r="Z167" s="31"/>
    </row>
    <row r="168">
      <c r="A168" s="25" t="s">
        <v>304</v>
      </c>
      <c r="B168" s="36" t="s">
        <v>444</v>
      </c>
      <c r="C168" s="10" t="s">
        <v>274</v>
      </c>
      <c r="D168" s="10" t="s">
        <v>358</v>
      </c>
      <c r="E168" s="10" t="s">
        <v>445</v>
      </c>
      <c r="F168" s="10" t="s">
        <v>276</v>
      </c>
      <c r="G168" s="10" t="s">
        <v>19</v>
      </c>
      <c r="H168" s="10" t="s">
        <v>433</v>
      </c>
      <c r="I168" s="10" t="s">
        <v>414</v>
      </c>
      <c r="J168" s="25" t="s">
        <v>397</v>
      </c>
      <c r="K168" s="35" t="s">
        <v>444</v>
      </c>
      <c r="L168" s="26" t="s">
        <v>22</v>
      </c>
      <c r="M168" s="29" t="s">
        <v>19</v>
      </c>
      <c r="N168" s="26" t="s">
        <v>23</v>
      </c>
      <c r="O168" s="31"/>
      <c r="P168" s="31"/>
      <c r="Q168" s="31"/>
      <c r="R168" s="31"/>
      <c r="S168" s="31"/>
      <c r="T168" s="31"/>
      <c r="U168" s="31"/>
      <c r="V168" s="31"/>
      <c r="W168" s="31"/>
      <c r="X168" s="31"/>
      <c r="Y168" s="31"/>
      <c r="Z168" s="31"/>
    </row>
    <row r="169">
      <c r="A169" s="25" t="s">
        <v>304</v>
      </c>
      <c r="B169" s="36" t="s">
        <v>444</v>
      </c>
      <c r="C169" s="10" t="s">
        <v>278</v>
      </c>
      <c r="D169" s="10" t="s">
        <v>358</v>
      </c>
      <c r="E169" s="10" t="s">
        <v>445</v>
      </c>
      <c r="F169" s="10" t="s">
        <v>280</v>
      </c>
      <c r="G169" s="10" t="s">
        <v>19</v>
      </c>
      <c r="H169" s="10" t="s">
        <v>434</v>
      </c>
      <c r="I169" s="10" t="s">
        <v>414</v>
      </c>
      <c r="J169" s="25" t="s">
        <v>397</v>
      </c>
      <c r="K169" s="35" t="s">
        <v>444</v>
      </c>
      <c r="L169" s="26" t="s">
        <v>22</v>
      </c>
      <c r="M169" s="29" t="s">
        <v>19</v>
      </c>
      <c r="N169" s="26" t="s">
        <v>23</v>
      </c>
      <c r="O169" s="31"/>
      <c r="P169" s="31"/>
      <c r="Q169" s="31"/>
      <c r="R169" s="31"/>
      <c r="S169" s="31"/>
      <c r="T169" s="31"/>
      <c r="U169" s="31"/>
      <c r="V169" s="31"/>
      <c r="W169" s="31"/>
      <c r="X169" s="31"/>
      <c r="Y169" s="31"/>
      <c r="Z169" s="31"/>
    </row>
    <row r="170">
      <c r="A170" s="25" t="s">
        <v>304</v>
      </c>
      <c r="B170" s="36" t="s">
        <v>444</v>
      </c>
      <c r="C170" s="10" t="s">
        <v>334</v>
      </c>
      <c r="D170" s="10" t="s">
        <v>358</v>
      </c>
      <c r="E170" s="10" t="s">
        <v>445</v>
      </c>
      <c r="F170" s="10" t="s">
        <v>335</v>
      </c>
      <c r="G170" s="10" t="s">
        <v>19</v>
      </c>
      <c r="H170" s="10" t="s">
        <v>435</v>
      </c>
      <c r="I170" s="10" t="s">
        <v>414</v>
      </c>
      <c r="J170" s="25" t="s">
        <v>397</v>
      </c>
      <c r="K170" s="35" t="s">
        <v>444</v>
      </c>
      <c r="L170" s="26" t="s">
        <v>22</v>
      </c>
      <c r="M170" s="29" t="s">
        <v>19</v>
      </c>
      <c r="N170" s="26" t="s">
        <v>23</v>
      </c>
      <c r="O170" s="31"/>
      <c r="P170" s="31"/>
      <c r="Q170" s="31"/>
      <c r="R170" s="31"/>
      <c r="S170" s="31"/>
      <c r="T170" s="31"/>
      <c r="U170" s="31"/>
      <c r="V170" s="31"/>
      <c r="W170" s="31"/>
      <c r="X170" s="31"/>
      <c r="Y170" s="31"/>
      <c r="Z170" s="31"/>
    </row>
    <row r="171">
      <c r="A171" s="25" t="s">
        <v>304</v>
      </c>
      <c r="B171" s="36" t="s">
        <v>444</v>
      </c>
      <c r="C171" s="10" t="s">
        <v>337</v>
      </c>
      <c r="D171" s="10" t="s">
        <v>377</v>
      </c>
      <c r="E171" s="10" t="s">
        <v>445</v>
      </c>
      <c r="F171" s="10" t="s">
        <v>339</v>
      </c>
      <c r="G171" s="10" t="s">
        <v>57</v>
      </c>
      <c r="H171" s="10" t="s">
        <v>436</v>
      </c>
      <c r="I171" s="10" t="s">
        <v>414</v>
      </c>
      <c r="J171" s="25" t="s">
        <v>397</v>
      </c>
      <c r="K171" s="35" t="s">
        <v>444</v>
      </c>
      <c r="L171" s="26" t="s">
        <v>22</v>
      </c>
      <c r="M171" s="29" t="s">
        <v>19</v>
      </c>
      <c r="N171" s="26" t="s">
        <v>23</v>
      </c>
      <c r="O171" s="31"/>
      <c r="P171" s="31"/>
      <c r="Q171" s="31"/>
      <c r="R171" s="31"/>
      <c r="S171" s="31"/>
      <c r="T171" s="31"/>
      <c r="U171" s="31"/>
      <c r="V171" s="31"/>
      <c r="W171" s="31"/>
      <c r="X171" s="31"/>
      <c r="Y171" s="31"/>
      <c r="Z171" s="31"/>
    </row>
    <row r="172">
      <c r="A172" s="25" t="s">
        <v>304</v>
      </c>
      <c r="B172" s="36" t="s">
        <v>444</v>
      </c>
      <c r="C172" s="10" t="s">
        <v>99</v>
      </c>
      <c r="D172" s="10" t="s">
        <v>358</v>
      </c>
      <c r="E172" s="10" t="s">
        <v>445</v>
      </c>
      <c r="F172" s="10" t="s">
        <v>283</v>
      </c>
      <c r="G172" s="10" t="s">
        <v>19</v>
      </c>
      <c r="H172" s="10" t="s">
        <v>437</v>
      </c>
      <c r="I172" s="10" t="s">
        <v>414</v>
      </c>
      <c r="J172" s="25" t="s">
        <v>397</v>
      </c>
      <c r="K172" s="35" t="s">
        <v>444</v>
      </c>
      <c r="L172" s="26" t="s">
        <v>22</v>
      </c>
      <c r="M172" s="29" t="s">
        <v>19</v>
      </c>
      <c r="N172" s="26" t="s">
        <v>23</v>
      </c>
      <c r="O172" s="31"/>
      <c r="P172" s="31"/>
      <c r="Q172" s="31"/>
      <c r="R172" s="31"/>
      <c r="S172" s="31"/>
      <c r="T172" s="31"/>
      <c r="U172" s="31"/>
      <c r="V172" s="31"/>
      <c r="W172" s="31"/>
      <c r="X172" s="31"/>
      <c r="Y172" s="31"/>
      <c r="Z172" s="31"/>
    </row>
    <row r="173">
      <c r="A173" s="25" t="s">
        <v>304</v>
      </c>
      <c r="B173" s="36" t="s">
        <v>444</v>
      </c>
      <c r="C173" s="10" t="s">
        <v>285</v>
      </c>
      <c r="D173" s="10" t="s">
        <v>358</v>
      </c>
      <c r="E173" s="10" t="s">
        <v>445</v>
      </c>
      <c r="F173" s="10" t="s">
        <v>287</v>
      </c>
      <c r="G173" s="10" t="s">
        <v>19</v>
      </c>
      <c r="H173" s="10" t="s">
        <v>438</v>
      </c>
      <c r="I173" s="10" t="s">
        <v>414</v>
      </c>
      <c r="J173" s="25" t="s">
        <v>397</v>
      </c>
      <c r="K173" s="35" t="s">
        <v>444</v>
      </c>
      <c r="L173" s="26" t="s">
        <v>22</v>
      </c>
      <c r="M173" s="29" t="s">
        <v>19</v>
      </c>
      <c r="N173" s="26" t="s">
        <v>23</v>
      </c>
      <c r="O173" s="31"/>
      <c r="P173" s="31"/>
      <c r="Q173" s="31"/>
      <c r="R173" s="31"/>
      <c r="S173" s="31"/>
      <c r="T173" s="31"/>
      <c r="U173" s="31"/>
      <c r="V173" s="31"/>
      <c r="W173" s="31"/>
      <c r="X173" s="31"/>
      <c r="Y173" s="31"/>
      <c r="Z173" s="31"/>
    </row>
    <row r="174">
      <c r="A174" s="25" t="s">
        <v>304</v>
      </c>
      <c r="B174" s="36" t="s">
        <v>444</v>
      </c>
      <c r="C174" s="10" t="s">
        <v>289</v>
      </c>
      <c r="D174" s="10" t="s">
        <v>358</v>
      </c>
      <c r="E174" s="10" t="s">
        <v>445</v>
      </c>
      <c r="F174" s="10" t="s">
        <v>291</v>
      </c>
      <c r="G174" s="10" t="s">
        <v>19</v>
      </c>
      <c r="H174" s="10" t="s">
        <v>439</v>
      </c>
      <c r="I174" s="10" t="s">
        <v>414</v>
      </c>
      <c r="J174" s="25" t="s">
        <v>397</v>
      </c>
      <c r="K174" s="35" t="s">
        <v>444</v>
      </c>
      <c r="L174" s="26" t="s">
        <v>22</v>
      </c>
      <c r="M174" s="29" t="s">
        <v>19</v>
      </c>
      <c r="N174" s="26" t="s">
        <v>23</v>
      </c>
      <c r="O174" s="31"/>
      <c r="P174" s="31"/>
      <c r="Q174" s="31"/>
      <c r="R174" s="31"/>
      <c r="S174" s="31"/>
      <c r="T174" s="31"/>
      <c r="U174" s="31"/>
      <c r="V174" s="31"/>
      <c r="W174" s="31"/>
      <c r="X174" s="31"/>
      <c r="Y174" s="31"/>
      <c r="Z174" s="31"/>
    </row>
    <row r="175">
      <c r="A175" s="25" t="s">
        <v>304</v>
      </c>
      <c r="B175" s="36" t="s">
        <v>444</v>
      </c>
      <c r="C175" s="10" t="s">
        <v>343</v>
      </c>
      <c r="D175" s="10" t="s">
        <v>358</v>
      </c>
      <c r="E175" s="10" t="s">
        <v>445</v>
      </c>
      <c r="F175" s="10" t="s">
        <v>345</v>
      </c>
      <c r="G175" s="10" t="s">
        <v>19</v>
      </c>
      <c r="H175" s="10" t="s">
        <v>440</v>
      </c>
      <c r="I175" s="10" t="s">
        <v>414</v>
      </c>
      <c r="J175" s="25" t="s">
        <v>397</v>
      </c>
      <c r="K175" s="35" t="s">
        <v>444</v>
      </c>
      <c r="L175" s="26" t="s">
        <v>22</v>
      </c>
      <c r="M175" s="29" t="s">
        <v>19</v>
      </c>
      <c r="N175" s="26" t="s">
        <v>23</v>
      </c>
      <c r="O175" s="31"/>
      <c r="P175" s="31"/>
      <c r="Q175" s="31"/>
      <c r="R175" s="31"/>
      <c r="S175" s="31"/>
      <c r="T175" s="31"/>
      <c r="U175" s="31"/>
      <c r="V175" s="31"/>
      <c r="W175" s="31"/>
      <c r="X175" s="31"/>
      <c r="Y175" s="31"/>
      <c r="Z175" s="31"/>
    </row>
    <row r="176">
      <c r="A176" s="25" t="s">
        <v>304</v>
      </c>
      <c r="B176" s="36" t="s">
        <v>444</v>
      </c>
      <c r="C176" s="10" t="s">
        <v>347</v>
      </c>
      <c r="D176" s="10" t="s">
        <v>358</v>
      </c>
      <c r="E176" s="10" t="s">
        <v>445</v>
      </c>
      <c r="F176" s="10" t="s">
        <v>294</v>
      </c>
      <c r="G176" s="10" t="s">
        <v>19</v>
      </c>
      <c r="H176" s="10" t="s">
        <v>441</v>
      </c>
      <c r="I176" s="10" t="s">
        <v>414</v>
      </c>
      <c r="J176" s="25" t="s">
        <v>397</v>
      </c>
      <c r="K176" s="35" t="s">
        <v>444</v>
      </c>
      <c r="L176" s="26" t="s">
        <v>22</v>
      </c>
      <c r="M176" s="29" t="s">
        <v>19</v>
      </c>
      <c r="N176" s="26" t="s">
        <v>23</v>
      </c>
      <c r="O176" s="31"/>
      <c r="P176" s="31"/>
      <c r="Q176" s="31"/>
      <c r="R176" s="31"/>
      <c r="S176" s="31"/>
      <c r="T176" s="31"/>
      <c r="U176" s="31"/>
      <c r="V176" s="31"/>
      <c r="W176" s="31"/>
      <c r="X176" s="31"/>
      <c r="Y176" s="31"/>
      <c r="Z176" s="31"/>
    </row>
    <row r="177">
      <c r="A177" s="25" t="s">
        <v>304</v>
      </c>
      <c r="B177" s="36" t="s">
        <v>444</v>
      </c>
      <c r="C177" s="10" t="s">
        <v>105</v>
      </c>
      <c r="D177" s="10" t="s">
        <v>358</v>
      </c>
      <c r="E177" s="10" t="s">
        <v>445</v>
      </c>
      <c r="F177" s="10" t="s">
        <v>297</v>
      </c>
      <c r="G177" s="10" t="s">
        <v>19</v>
      </c>
      <c r="H177" s="10" t="s">
        <v>442</v>
      </c>
      <c r="I177" s="10" t="s">
        <v>414</v>
      </c>
      <c r="J177" s="25" t="s">
        <v>397</v>
      </c>
      <c r="K177" s="35" t="s">
        <v>444</v>
      </c>
      <c r="L177" s="26" t="s">
        <v>22</v>
      </c>
      <c r="M177" s="29" t="s">
        <v>19</v>
      </c>
      <c r="N177" s="26" t="s">
        <v>23</v>
      </c>
      <c r="O177" s="31"/>
      <c r="P177" s="31"/>
      <c r="Q177" s="31"/>
      <c r="R177" s="31"/>
      <c r="S177" s="31"/>
      <c r="T177" s="31"/>
      <c r="U177" s="31"/>
      <c r="V177" s="31"/>
      <c r="W177" s="31"/>
      <c r="X177" s="31"/>
      <c r="Y177" s="31"/>
      <c r="Z177" s="31"/>
    </row>
    <row r="178">
      <c r="A178" s="25" t="s">
        <v>304</v>
      </c>
      <c r="B178" s="36" t="s">
        <v>444</v>
      </c>
      <c r="C178" s="10" t="s">
        <v>350</v>
      </c>
      <c r="D178" s="10" t="s">
        <v>358</v>
      </c>
      <c r="E178" s="10" t="s">
        <v>445</v>
      </c>
      <c r="F178" s="10" t="s">
        <v>351</v>
      </c>
      <c r="G178" s="10" t="s">
        <v>19</v>
      </c>
      <c r="H178" s="10" t="s">
        <v>435</v>
      </c>
      <c r="I178" s="10" t="s">
        <v>414</v>
      </c>
      <c r="J178" s="25" t="s">
        <v>397</v>
      </c>
      <c r="K178" s="35" t="s">
        <v>444</v>
      </c>
      <c r="L178" s="26" t="s">
        <v>22</v>
      </c>
      <c r="M178" s="29" t="s">
        <v>19</v>
      </c>
      <c r="N178" s="26" t="s">
        <v>23</v>
      </c>
      <c r="O178" s="31"/>
      <c r="P178" s="31"/>
      <c r="Q178" s="31"/>
      <c r="R178" s="31"/>
      <c r="S178" s="31"/>
      <c r="T178" s="31"/>
      <c r="U178" s="31"/>
      <c r="V178" s="31"/>
      <c r="W178" s="31"/>
      <c r="X178" s="31"/>
      <c r="Y178" s="31"/>
      <c r="Z178" s="31"/>
    </row>
    <row r="179">
      <c r="A179" s="25" t="s">
        <v>304</v>
      </c>
      <c r="B179" s="36" t="s">
        <v>444</v>
      </c>
      <c r="C179" s="10" t="s">
        <v>353</v>
      </c>
      <c r="D179" s="10" t="s">
        <v>358</v>
      </c>
      <c r="E179" s="10" t="s">
        <v>445</v>
      </c>
      <c r="F179" s="10" t="s">
        <v>355</v>
      </c>
      <c r="G179" s="10" t="s">
        <v>19</v>
      </c>
      <c r="H179" s="10" t="s">
        <v>443</v>
      </c>
      <c r="I179" s="10" t="s">
        <v>414</v>
      </c>
      <c r="J179" s="25" t="s">
        <v>397</v>
      </c>
      <c r="K179" s="35" t="s">
        <v>444</v>
      </c>
      <c r="L179" s="26" t="s">
        <v>22</v>
      </c>
      <c r="M179" s="29" t="s">
        <v>19</v>
      </c>
      <c r="N179" s="26" t="s">
        <v>23</v>
      </c>
      <c r="O179" s="31"/>
      <c r="P179" s="31"/>
      <c r="Q179" s="31"/>
      <c r="R179" s="31"/>
      <c r="S179" s="31"/>
      <c r="T179" s="31"/>
      <c r="U179" s="31"/>
      <c r="V179" s="31"/>
      <c r="W179" s="31"/>
      <c r="X179" s="31"/>
      <c r="Y179" s="31"/>
      <c r="Z179" s="31"/>
    </row>
    <row r="180">
      <c r="A180" s="25" t="s">
        <v>304</v>
      </c>
      <c r="B180" s="36" t="s">
        <v>444</v>
      </c>
      <c r="C180" s="10" t="s">
        <v>446</v>
      </c>
      <c r="D180" s="10" t="s">
        <v>358</v>
      </c>
      <c r="E180" s="10" t="s">
        <v>445</v>
      </c>
      <c r="F180" s="10" t="s">
        <v>447</v>
      </c>
      <c r="G180" s="10" t="s">
        <v>19</v>
      </c>
      <c r="H180" s="10" t="s">
        <v>448</v>
      </c>
      <c r="I180" s="10" t="s">
        <v>414</v>
      </c>
      <c r="J180" s="25" t="s">
        <v>397</v>
      </c>
      <c r="K180" s="35" t="s">
        <v>444</v>
      </c>
      <c r="L180" s="26" t="s">
        <v>22</v>
      </c>
      <c r="M180" s="29" t="s">
        <v>19</v>
      </c>
      <c r="N180" s="26" t="s">
        <v>23</v>
      </c>
      <c r="O180" s="31"/>
      <c r="P180" s="31"/>
      <c r="Q180" s="31"/>
      <c r="R180" s="31"/>
      <c r="S180" s="31"/>
      <c r="T180" s="31"/>
      <c r="U180" s="31"/>
      <c r="V180" s="31"/>
      <c r="W180" s="31"/>
      <c r="X180" s="31"/>
      <c r="Y180" s="31"/>
      <c r="Z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autoFilter ref="$A$1:$Z$1000"/>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69"/>
    <hyperlink r:id="rId69" ref="K70"/>
    <hyperlink r:id="rId70" ref="K71"/>
    <hyperlink r:id="rId71" ref="K72"/>
    <hyperlink r:id="rId72" ref="K73"/>
    <hyperlink r:id="rId73" ref="K74"/>
    <hyperlink r:id="rId74" ref="K75"/>
    <hyperlink r:id="rId75" ref="K76"/>
    <hyperlink r:id="rId76" ref="K77"/>
    <hyperlink r:id="rId77" ref="K78"/>
    <hyperlink r:id="rId78" ref="K79"/>
    <hyperlink r:id="rId79" ref="K80"/>
    <hyperlink r:id="rId80" ref="K81"/>
    <hyperlink r:id="rId81" ref="K82"/>
    <hyperlink r:id="rId82" ref="K83"/>
    <hyperlink r:id="rId83" ref="K84"/>
    <hyperlink r:id="rId84" ref="K85"/>
    <hyperlink r:id="rId85" ref="K86"/>
    <hyperlink r:id="rId86" ref="K87"/>
    <hyperlink r:id="rId87" ref="K88"/>
    <hyperlink r:id="rId88" ref="K89"/>
    <hyperlink r:id="rId89" ref="K90"/>
    <hyperlink r:id="rId90" ref="K91"/>
    <hyperlink r:id="rId91" ref="K92"/>
    <hyperlink r:id="rId92" ref="K93"/>
    <hyperlink r:id="rId93" ref="K94"/>
    <hyperlink r:id="rId94" ref="K95"/>
    <hyperlink r:id="rId95" ref="K96"/>
    <hyperlink r:id="rId96" ref="K97"/>
    <hyperlink r:id="rId97" ref="K98"/>
    <hyperlink r:id="rId98" ref="K99"/>
    <hyperlink r:id="rId99" ref="K100"/>
    <hyperlink r:id="rId100" ref="K101"/>
    <hyperlink r:id="rId101" ref="K102"/>
    <hyperlink r:id="rId102" ref="K103"/>
    <hyperlink r:id="rId103" ref="K104"/>
    <hyperlink r:id="rId104" ref="K105"/>
    <hyperlink r:id="rId105" ref="K106"/>
    <hyperlink r:id="rId106" ref="K107"/>
    <hyperlink r:id="rId107" ref="K108"/>
    <hyperlink r:id="rId108" ref="K109"/>
    <hyperlink r:id="rId109" ref="K110"/>
    <hyperlink r:id="rId110" ref="K111"/>
    <hyperlink r:id="rId111" ref="K112"/>
    <hyperlink r:id="rId112" ref="K113"/>
    <hyperlink r:id="rId113" ref="K114"/>
    <hyperlink r:id="rId114" ref="K115"/>
    <hyperlink r:id="rId115" ref="K116"/>
    <hyperlink r:id="rId116" ref="K117"/>
    <hyperlink r:id="rId117" ref="K118"/>
    <hyperlink r:id="rId118" ref="K119"/>
    <hyperlink r:id="rId119" ref="K120"/>
    <hyperlink r:id="rId120" ref="K121"/>
    <hyperlink r:id="rId121" ref="K122"/>
    <hyperlink r:id="rId122" ref="K123"/>
    <hyperlink r:id="rId123" ref="K124"/>
    <hyperlink r:id="rId124" ref="K125"/>
    <hyperlink r:id="rId125" ref="K126"/>
    <hyperlink r:id="rId126" ref="K127"/>
    <hyperlink r:id="rId127" ref="K128"/>
    <hyperlink r:id="rId128" ref="K129"/>
    <hyperlink r:id="rId129" ref="K130"/>
    <hyperlink r:id="rId130" ref="K131"/>
    <hyperlink r:id="rId131" ref="K132"/>
    <hyperlink r:id="rId132" ref="K133"/>
    <hyperlink r:id="rId133" ref="K134"/>
    <hyperlink r:id="rId134" ref="K135"/>
    <hyperlink r:id="rId135" ref="K136"/>
    <hyperlink r:id="rId136" ref="K137"/>
    <hyperlink r:id="rId137" ref="K138"/>
    <hyperlink r:id="rId138" ref="K139"/>
    <hyperlink r:id="rId139" ref="K140"/>
    <hyperlink r:id="rId140" ref="K141"/>
    <hyperlink r:id="rId141" ref="K142"/>
    <hyperlink r:id="rId142" ref="K143"/>
    <hyperlink r:id="rId143" ref="K144"/>
    <hyperlink r:id="rId144" ref="K145"/>
    <hyperlink r:id="rId145" ref="K146"/>
    <hyperlink r:id="rId146" ref="K147"/>
    <hyperlink r:id="rId147" ref="K148"/>
    <hyperlink r:id="rId148" ref="K149"/>
    <hyperlink r:id="rId149" ref="K150"/>
    <hyperlink r:id="rId150" ref="K151"/>
    <hyperlink r:id="rId151" ref="K152"/>
    <hyperlink r:id="rId152" ref="K153"/>
    <hyperlink r:id="rId153" ref="K154"/>
    <hyperlink r:id="rId154" ref="K155"/>
    <hyperlink r:id="rId155" ref="K156"/>
    <hyperlink r:id="rId156" ref="K157"/>
    <hyperlink r:id="rId157" ref="K158"/>
    <hyperlink r:id="rId158" ref="K159"/>
    <hyperlink r:id="rId159" ref="K160"/>
    <hyperlink r:id="rId160" ref="K161"/>
    <hyperlink r:id="rId161" ref="K162"/>
    <hyperlink r:id="rId162" ref="K163"/>
    <hyperlink r:id="rId163" ref="K164"/>
    <hyperlink r:id="rId164" ref="K165"/>
    <hyperlink r:id="rId165" ref="K166"/>
    <hyperlink r:id="rId166" ref="K167"/>
    <hyperlink r:id="rId167" ref="K168"/>
    <hyperlink r:id="rId168" ref="K169"/>
    <hyperlink r:id="rId169" ref="K170"/>
    <hyperlink r:id="rId170" ref="K171"/>
    <hyperlink r:id="rId171" ref="K172"/>
    <hyperlink r:id="rId172" ref="K173"/>
    <hyperlink r:id="rId173" ref="K174"/>
    <hyperlink r:id="rId174" ref="K175"/>
    <hyperlink r:id="rId175" ref="K176"/>
    <hyperlink r:id="rId176" ref="K177"/>
    <hyperlink r:id="rId177" ref="K178"/>
    <hyperlink r:id="rId178" ref="K179"/>
    <hyperlink r:id="rId179" ref="K180"/>
  </hyperlinks>
  <drawing r:id="rId18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3.0"/>
    <col customWidth="1" min="4" max="4" width="11.25"/>
    <col customWidth="1" min="6" max="6" width="16.25"/>
    <col customWidth="1" min="7" max="7" width="25.63"/>
    <col customWidth="1" min="8" max="8" width="16.0"/>
    <col customWidth="1" min="9" max="9" width="26.13"/>
    <col customWidth="1" min="12" max="12" width="11.63"/>
    <col customWidth="1" min="13" max="13" width="10.38"/>
    <col customWidth="1" min="14" max="14" width="18.75"/>
  </cols>
  <sheetData>
    <row r="1" ht="46.5" customHeight="1">
      <c r="A1" s="37" t="s">
        <v>0</v>
      </c>
      <c r="B1" s="37" t="s">
        <v>299</v>
      </c>
      <c r="C1" s="37" t="s">
        <v>300</v>
      </c>
      <c r="D1" s="37" t="s">
        <v>4</v>
      </c>
      <c r="E1" s="37" t="s">
        <v>301</v>
      </c>
      <c r="F1" s="37" t="s">
        <v>3</v>
      </c>
      <c r="G1" s="38" t="s">
        <v>2</v>
      </c>
      <c r="H1" s="37" t="s">
        <v>302</v>
      </c>
      <c r="I1" s="39" t="s">
        <v>303</v>
      </c>
      <c r="J1" s="37" t="s">
        <v>9</v>
      </c>
      <c r="K1" s="37" t="s">
        <v>10</v>
      </c>
      <c r="L1" s="37" t="s">
        <v>11</v>
      </c>
      <c r="M1" s="37" t="s">
        <v>12</v>
      </c>
      <c r="N1" s="37" t="s">
        <v>13</v>
      </c>
    </row>
    <row r="2" ht="22.5" customHeight="1">
      <c r="A2" s="40" t="s">
        <v>449</v>
      </c>
      <c r="B2" s="41" t="s">
        <v>450</v>
      </c>
      <c r="C2" s="40" t="s">
        <v>15</v>
      </c>
      <c r="D2" s="40" t="str">
        <f t="shared" ref="D2:D160" si="1">LET(
x,TRIM(CLEAN(SUBSTITUTE(SUBSTITUTE(C2,CHAR(160)," "),CHAR(10)," "))),
IF(OR(
x="BSE Enhanced Value 30 Index Fund",
x="Bluechip Fund",
x="Dividend Leaders 50 Index Fund",
x="Focus 50 Fund",
x="BSE 500 Enhanced Value 50 Index Fund",
x="India Consumption Fund",
x="India Growth Fund",
x="Large &amp; Mid Cap Advantage Fund",
x="Maximise India Fund",
x="Maximiser V",
x="Mid Cap 150 Momentum 50 Index Fund",
x="MidSmallCap 400 Momentum Quality 100 Index Fund",
x="Mid Cap Fund",
x="Mid Cap Index Fund",
x="MidSmall Cap 400 Index Fund",
x="Multi Cap Growth Fund",
x="Multicap 50 25 25 Index Fund",
x="Nifty Alpha 50 Index Fund",
x="Opportunities Fund",
x="Sector Leaders Index Fund",
x="Smallcap 250 Index Fund",
x="Smallcap 250 Momentum Quality 100 Index Fund",
x="Sustainable Equity Fund",
x="Value Enhancer Fund",
x="Pension Multi Cap Growth Fund",
x="Pension Opportunities Fund",
x="Pension Bluechip Fund",
x="Pension India Growth Fund",
x="Pension India Consumption Fund"
),"Equity",
IF(OR(
x="Constant Maturity Fund",
x="Income Fund",
x="Money Market Fund",
x="Secure Opportunities Fund",
x="Pension Income Fund",
x="Pension Money Market Fund",
x="Secure Income Fund"
),"Debt",
IF(OR(
x="Active Asset Allocation Balanced Fund",
x="Multi Cap Balanced Fund",
x="Mid Cap Hybrid Growth Fund",
x="Balanced Advantage Fund",
x="Pension Balance Fund",
x="Pension Multi Cap Balanced Fund"
),"Balanced","Unknown"))))</f>
        <v>Equity</v>
      </c>
      <c r="E2" s="40" t="str">
        <f t="shared" ref="E2:E224" si="2">IFS(
B2="smart insurance Plan","105L204V03",
B2="signature funds","105L177V12",
B2="signature assure funds","105L196V01",
B2="Pru1 wealth","105L175V10",
B2="signature pension","105L194V03",
B2="signature secure","105L210V01",
B2="Platinum funds","105L192V04",
B2="Smart Goal Assure","105L199V01",
B2="Wealth Elite Pro","105L207V01"
)
</f>
        <v>105L204V03</v>
      </c>
      <c r="F2" s="40" t="s">
        <v>17</v>
      </c>
      <c r="G2" s="40" t="s">
        <v>16</v>
      </c>
      <c r="H2" s="41" t="s">
        <v>451</v>
      </c>
      <c r="I2" s="42" t="s">
        <v>452</v>
      </c>
      <c r="J2" s="43" t="s">
        <v>453</v>
      </c>
      <c r="K2" s="41" t="s">
        <v>22</v>
      </c>
      <c r="L2" s="41" t="s">
        <v>19</v>
      </c>
      <c r="M2" s="41" t="s">
        <v>23</v>
      </c>
      <c r="N2" s="41"/>
    </row>
    <row r="3" ht="22.5" customHeight="1">
      <c r="A3" s="40" t="s">
        <v>454</v>
      </c>
      <c r="B3" s="41" t="s">
        <v>450</v>
      </c>
      <c r="C3" s="40" t="s">
        <v>24</v>
      </c>
      <c r="D3" s="40" t="str">
        <f t="shared" si="1"/>
        <v>Equity</v>
      </c>
      <c r="E3" s="40" t="str">
        <f t="shared" si="2"/>
        <v>105L204V03</v>
      </c>
      <c r="F3" s="40" t="s">
        <v>26</v>
      </c>
      <c r="G3" s="40" t="s">
        <v>25</v>
      </c>
      <c r="H3" s="41" t="s">
        <v>451</v>
      </c>
      <c r="I3" s="42" t="s">
        <v>452</v>
      </c>
      <c r="J3" s="43" t="s">
        <v>453</v>
      </c>
      <c r="K3" s="41" t="s">
        <v>22</v>
      </c>
      <c r="L3" s="41" t="s">
        <v>19</v>
      </c>
      <c r="M3" s="41" t="s">
        <v>23</v>
      </c>
      <c r="N3" s="40"/>
    </row>
    <row r="4" ht="22.5" customHeight="1">
      <c r="A4" s="40" t="s">
        <v>449</v>
      </c>
      <c r="B4" s="41" t="s">
        <v>450</v>
      </c>
      <c r="C4" s="41" t="s">
        <v>455</v>
      </c>
      <c r="D4" s="40" t="str">
        <f t="shared" si="1"/>
        <v>Equity</v>
      </c>
      <c r="E4" s="40" t="str">
        <f t="shared" si="2"/>
        <v>105L204V03</v>
      </c>
      <c r="F4" s="40" t="s">
        <v>29</v>
      </c>
      <c r="G4" s="40" t="s">
        <v>28</v>
      </c>
      <c r="H4" s="41" t="s">
        <v>451</v>
      </c>
      <c r="I4" s="42" t="s">
        <v>452</v>
      </c>
      <c r="J4" s="43" t="s">
        <v>453</v>
      </c>
      <c r="K4" s="41" t="s">
        <v>22</v>
      </c>
      <c r="L4" s="41" t="s">
        <v>19</v>
      </c>
      <c r="M4" s="41" t="s">
        <v>23</v>
      </c>
      <c r="N4" s="40"/>
    </row>
    <row r="5" ht="22.5" customHeight="1">
      <c r="A5" s="40" t="s">
        <v>449</v>
      </c>
      <c r="B5" s="41" t="s">
        <v>450</v>
      </c>
      <c r="C5" s="40" t="s">
        <v>30</v>
      </c>
      <c r="D5" s="40" t="str">
        <f t="shared" si="1"/>
        <v>Equity</v>
      </c>
      <c r="E5" s="40" t="str">
        <f t="shared" si="2"/>
        <v>105L204V03</v>
      </c>
      <c r="F5" s="40" t="s">
        <v>32</v>
      </c>
      <c r="G5" s="40" t="s">
        <v>31</v>
      </c>
      <c r="H5" s="41" t="s">
        <v>451</v>
      </c>
      <c r="I5" s="42" t="s">
        <v>452</v>
      </c>
      <c r="J5" s="43" t="s">
        <v>453</v>
      </c>
      <c r="K5" s="41" t="s">
        <v>22</v>
      </c>
      <c r="L5" s="41" t="s">
        <v>19</v>
      </c>
      <c r="M5" s="41" t="s">
        <v>23</v>
      </c>
      <c r="N5" s="40"/>
    </row>
    <row r="6" ht="22.5" customHeight="1">
      <c r="A6" s="40" t="s">
        <v>449</v>
      </c>
      <c r="B6" s="41" t="s">
        <v>450</v>
      </c>
      <c r="C6" s="40" t="s">
        <v>33</v>
      </c>
      <c r="D6" s="40" t="str">
        <f t="shared" si="1"/>
        <v>Equity</v>
      </c>
      <c r="E6" s="40" t="str">
        <f t="shared" si="2"/>
        <v>105L204V03</v>
      </c>
      <c r="F6" s="40" t="s">
        <v>35</v>
      </c>
      <c r="G6" s="40" t="s">
        <v>34</v>
      </c>
      <c r="H6" s="41" t="s">
        <v>451</v>
      </c>
      <c r="I6" s="42" t="s">
        <v>452</v>
      </c>
      <c r="J6" s="43" t="s">
        <v>453</v>
      </c>
      <c r="K6" s="41" t="s">
        <v>22</v>
      </c>
      <c r="L6" s="41" t="s">
        <v>19</v>
      </c>
      <c r="M6" s="41" t="s">
        <v>23</v>
      </c>
      <c r="N6" s="40"/>
    </row>
    <row r="7" ht="22.5" customHeight="1">
      <c r="A7" s="40" t="s">
        <v>449</v>
      </c>
      <c r="B7" s="41" t="s">
        <v>450</v>
      </c>
      <c r="C7" s="40" t="s">
        <v>36</v>
      </c>
      <c r="D7" s="40" t="str">
        <f t="shared" si="1"/>
        <v>Equity</v>
      </c>
      <c r="E7" s="40" t="str">
        <f t="shared" si="2"/>
        <v>105L204V03</v>
      </c>
      <c r="F7" s="40" t="s">
        <v>38</v>
      </c>
      <c r="G7" s="40" t="s">
        <v>37</v>
      </c>
      <c r="H7" s="41" t="s">
        <v>451</v>
      </c>
      <c r="I7" s="42" t="s">
        <v>452</v>
      </c>
      <c r="J7" s="43" t="s">
        <v>453</v>
      </c>
      <c r="K7" s="41" t="s">
        <v>22</v>
      </c>
      <c r="L7" s="41" t="s">
        <v>19</v>
      </c>
      <c r="M7" s="41" t="s">
        <v>23</v>
      </c>
      <c r="N7" s="40"/>
    </row>
    <row r="8" ht="22.5" customHeight="1">
      <c r="A8" s="40" t="s">
        <v>449</v>
      </c>
      <c r="B8" s="41" t="s">
        <v>450</v>
      </c>
      <c r="C8" s="40" t="s">
        <v>39</v>
      </c>
      <c r="D8" s="40" t="str">
        <f t="shared" si="1"/>
        <v>Equity</v>
      </c>
      <c r="E8" s="40" t="str">
        <f t="shared" si="2"/>
        <v>105L204V03</v>
      </c>
      <c r="F8" s="40" t="s">
        <v>41</v>
      </c>
      <c r="G8" s="40" t="s">
        <v>40</v>
      </c>
      <c r="H8" s="41" t="s">
        <v>451</v>
      </c>
      <c r="I8" s="42" t="s">
        <v>452</v>
      </c>
      <c r="J8" s="43" t="s">
        <v>453</v>
      </c>
      <c r="K8" s="41" t="s">
        <v>22</v>
      </c>
      <c r="L8" s="41" t="s">
        <v>19</v>
      </c>
      <c r="M8" s="41" t="s">
        <v>23</v>
      </c>
      <c r="N8" s="40"/>
    </row>
    <row r="9" ht="22.5" customHeight="1">
      <c r="A9" s="40" t="s">
        <v>449</v>
      </c>
      <c r="B9" s="41" t="s">
        <v>450</v>
      </c>
      <c r="C9" s="40" t="s">
        <v>42</v>
      </c>
      <c r="D9" s="40" t="str">
        <f t="shared" si="1"/>
        <v>Equity</v>
      </c>
      <c r="E9" s="40" t="str">
        <f t="shared" si="2"/>
        <v>105L204V03</v>
      </c>
      <c r="F9" s="40" t="s">
        <v>44</v>
      </c>
      <c r="G9" s="40" t="s">
        <v>43</v>
      </c>
      <c r="H9" s="41" t="s">
        <v>451</v>
      </c>
      <c r="I9" s="42" t="s">
        <v>452</v>
      </c>
      <c r="J9" s="43" t="s">
        <v>453</v>
      </c>
      <c r="K9" s="41" t="s">
        <v>22</v>
      </c>
      <c r="L9" s="41" t="s">
        <v>19</v>
      </c>
      <c r="M9" s="41" t="s">
        <v>23</v>
      </c>
      <c r="N9" s="40"/>
    </row>
    <row r="10" ht="22.5" customHeight="1">
      <c r="A10" s="40" t="s">
        <v>449</v>
      </c>
      <c r="B10" s="41" t="s">
        <v>450</v>
      </c>
      <c r="C10" s="40" t="s">
        <v>45</v>
      </c>
      <c r="D10" s="40" t="str">
        <f t="shared" si="1"/>
        <v>Balanced</v>
      </c>
      <c r="E10" s="40" t="str">
        <f t="shared" si="2"/>
        <v>105L204V03</v>
      </c>
      <c r="F10" s="40" t="s">
        <v>47</v>
      </c>
      <c r="G10" s="40" t="s">
        <v>46</v>
      </c>
      <c r="H10" s="41" t="s">
        <v>451</v>
      </c>
      <c r="I10" s="42" t="s">
        <v>452</v>
      </c>
      <c r="J10" s="43" t="s">
        <v>453</v>
      </c>
      <c r="K10" s="41" t="s">
        <v>22</v>
      </c>
      <c r="L10" s="41" t="s">
        <v>19</v>
      </c>
      <c r="M10" s="41" t="s">
        <v>23</v>
      </c>
      <c r="N10" s="40"/>
    </row>
    <row r="11" ht="22.5" customHeight="1">
      <c r="A11" s="40" t="s">
        <v>449</v>
      </c>
      <c r="B11" s="41" t="s">
        <v>450</v>
      </c>
      <c r="C11" s="40" t="s">
        <v>50</v>
      </c>
      <c r="D11" s="40" t="str">
        <f t="shared" si="1"/>
        <v>Balanced</v>
      </c>
      <c r="E11" s="40" t="str">
        <f t="shared" si="2"/>
        <v>105L204V03</v>
      </c>
      <c r="F11" s="40" t="s">
        <v>52</v>
      </c>
      <c r="G11" s="40" t="s">
        <v>51</v>
      </c>
      <c r="H11" s="41" t="s">
        <v>451</v>
      </c>
      <c r="I11" s="42" t="s">
        <v>452</v>
      </c>
      <c r="J11" s="43" t="s">
        <v>453</v>
      </c>
      <c r="K11" s="41" t="s">
        <v>22</v>
      </c>
      <c r="L11" s="41" t="s">
        <v>19</v>
      </c>
      <c r="M11" s="41" t="s">
        <v>23</v>
      </c>
      <c r="N11" s="40"/>
    </row>
    <row r="12" ht="22.5" customHeight="1">
      <c r="A12" s="40" t="s">
        <v>449</v>
      </c>
      <c r="B12" s="41" t="s">
        <v>450</v>
      </c>
      <c r="C12" s="40" t="s">
        <v>53</v>
      </c>
      <c r="D12" s="40" t="str">
        <f t="shared" si="1"/>
        <v>Debt</v>
      </c>
      <c r="E12" s="40" t="str">
        <f t="shared" si="2"/>
        <v>105L204V03</v>
      </c>
      <c r="F12" s="40" t="s">
        <v>55</v>
      </c>
      <c r="G12" s="40" t="s">
        <v>54</v>
      </c>
      <c r="H12" s="41" t="s">
        <v>451</v>
      </c>
      <c r="I12" s="42" t="s">
        <v>452</v>
      </c>
      <c r="J12" s="43" t="s">
        <v>453</v>
      </c>
      <c r="K12" s="41" t="s">
        <v>22</v>
      </c>
      <c r="L12" s="41" t="s">
        <v>19</v>
      </c>
      <c r="M12" s="41" t="s">
        <v>23</v>
      </c>
      <c r="N12" s="40"/>
    </row>
    <row r="13" ht="22.5" customHeight="1">
      <c r="A13" s="40" t="s">
        <v>449</v>
      </c>
      <c r="B13" s="41" t="s">
        <v>450</v>
      </c>
      <c r="C13" s="40" t="s">
        <v>58</v>
      </c>
      <c r="D13" s="40" t="str">
        <f t="shared" si="1"/>
        <v>Debt</v>
      </c>
      <c r="E13" s="40" t="str">
        <f t="shared" si="2"/>
        <v>105L204V03</v>
      </c>
      <c r="F13" s="40" t="s">
        <v>59</v>
      </c>
      <c r="G13" s="40" t="s">
        <v>54</v>
      </c>
      <c r="H13" s="41" t="s">
        <v>451</v>
      </c>
      <c r="I13" s="42" t="s">
        <v>452</v>
      </c>
      <c r="J13" s="43" t="s">
        <v>453</v>
      </c>
      <c r="K13" s="41" t="s">
        <v>22</v>
      </c>
      <c r="L13" s="41" t="s">
        <v>19</v>
      </c>
      <c r="M13" s="41" t="s">
        <v>23</v>
      </c>
      <c r="N13" s="40"/>
    </row>
    <row r="14" ht="22.5" customHeight="1">
      <c r="A14" s="40" t="s">
        <v>449</v>
      </c>
      <c r="B14" s="41" t="s">
        <v>450</v>
      </c>
      <c r="C14" s="40" t="s">
        <v>60</v>
      </c>
      <c r="D14" s="40" t="str">
        <f t="shared" si="1"/>
        <v>Debt</v>
      </c>
      <c r="E14" s="40" t="str">
        <f t="shared" si="2"/>
        <v>105L204V03</v>
      </c>
      <c r="F14" s="40" t="s">
        <v>62</v>
      </c>
      <c r="G14" s="40" t="s">
        <v>61</v>
      </c>
      <c r="H14" s="41" t="s">
        <v>451</v>
      </c>
      <c r="I14" s="42" t="s">
        <v>452</v>
      </c>
      <c r="J14" s="43" t="s">
        <v>453</v>
      </c>
      <c r="K14" s="41" t="s">
        <v>22</v>
      </c>
      <c r="L14" s="41" t="s">
        <v>19</v>
      </c>
      <c r="M14" s="41" t="s">
        <v>23</v>
      </c>
      <c r="N14" s="40"/>
    </row>
    <row r="15" ht="22.5" customHeight="1">
      <c r="A15" s="40" t="s">
        <v>449</v>
      </c>
      <c r="B15" s="41" t="s">
        <v>450</v>
      </c>
      <c r="C15" s="40" t="s">
        <v>63</v>
      </c>
      <c r="D15" s="40" t="str">
        <f t="shared" si="1"/>
        <v>Balanced</v>
      </c>
      <c r="E15" s="40" t="str">
        <f t="shared" si="2"/>
        <v>105L204V03</v>
      </c>
      <c r="F15" s="40" t="s">
        <v>65</v>
      </c>
      <c r="G15" s="40" t="s">
        <v>64</v>
      </c>
      <c r="H15" s="41" t="s">
        <v>451</v>
      </c>
      <c r="I15" s="42" t="s">
        <v>452</v>
      </c>
      <c r="J15" s="43" t="s">
        <v>453</v>
      </c>
      <c r="K15" s="41" t="s">
        <v>22</v>
      </c>
      <c r="L15" s="41" t="s">
        <v>19</v>
      </c>
      <c r="M15" s="41" t="s">
        <v>23</v>
      </c>
      <c r="N15" s="40"/>
    </row>
    <row r="16" ht="22.5" customHeight="1">
      <c r="A16" s="40" t="s">
        <v>449</v>
      </c>
      <c r="B16" s="41" t="s">
        <v>450</v>
      </c>
      <c r="C16" s="40" t="s">
        <v>66</v>
      </c>
      <c r="D16" s="40" t="str">
        <f t="shared" si="1"/>
        <v>Equity</v>
      </c>
      <c r="E16" s="40" t="str">
        <f t="shared" si="2"/>
        <v>105L204V03</v>
      </c>
      <c r="F16" s="40" t="s">
        <v>68</v>
      </c>
      <c r="G16" s="40" t="s">
        <v>67</v>
      </c>
      <c r="H16" s="41" t="s">
        <v>451</v>
      </c>
      <c r="I16" s="42" t="s">
        <v>452</v>
      </c>
      <c r="J16" s="43" t="s">
        <v>453</v>
      </c>
      <c r="K16" s="41" t="s">
        <v>22</v>
      </c>
      <c r="L16" s="41" t="s">
        <v>19</v>
      </c>
      <c r="M16" s="41" t="s">
        <v>23</v>
      </c>
      <c r="N16" s="40"/>
    </row>
    <row r="17" ht="22.5" customHeight="1">
      <c r="A17" s="40" t="s">
        <v>449</v>
      </c>
      <c r="B17" s="41" t="s">
        <v>450</v>
      </c>
      <c r="C17" s="40" t="s">
        <v>69</v>
      </c>
      <c r="D17" s="40" t="str">
        <f t="shared" si="1"/>
        <v>Equity</v>
      </c>
      <c r="E17" s="40" t="str">
        <f t="shared" si="2"/>
        <v>105L204V03</v>
      </c>
      <c r="F17" s="40" t="s">
        <v>71</v>
      </c>
      <c r="G17" s="40" t="s">
        <v>70</v>
      </c>
      <c r="H17" s="41" t="s">
        <v>451</v>
      </c>
      <c r="I17" s="42" t="s">
        <v>452</v>
      </c>
      <c r="J17" s="43" t="s">
        <v>453</v>
      </c>
      <c r="K17" s="41" t="s">
        <v>22</v>
      </c>
      <c r="L17" s="41" t="s">
        <v>19</v>
      </c>
      <c r="M17" s="41" t="s">
        <v>23</v>
      </c>
      <c r="N17" s="40"/>
    </row>
    <row r="18" ht="22.5" customHeight="1">
      <c r="A18" s="40" t="s">
        <v>449</v>
      </c>
      <c r="B18" s="41" t="s">
        <v>450</v>
      </c>
      <c r="C18" s="40" t="s">
        <v>72</v>
      </c>
      <c r="D18" s="40" t="str">
        <f t="shared" si="1"/>
        <v>Balanced</v>
      </c>
      <c r="E18" s="40" t="str">
        <f t="shared" si="2"/>
        <v>105L204V03</v>
      </c>
      <c r="F18" s="40" t="s">
        <v>74</v>
      </c>
      <c r="G18" s="40" t="s">
        <v>73</v>
      </c>
      <c r="H18" s="41" t="s">
        <v>451</v>
      </c>
      <c r="I18" s="42" t="s">
        <v>452</v>
      </c>
      <c r="J18" s="43" t="s">
        <v>453</v>
      </c>
      <c r="K18" s="41" t="s">
        <v>22</v>
      </c>
      <c r="L18" s="41" t="s">
        <v>19</v>
      </c>
      <c r="M18" s="41" t="s">
        <v>23</v>
      </c>
      <c r="N18" s="40"/>
    </row>
    <row r="19" ht="22.5" customHeight="1">
      <c r="A19" s="40" t="s">
        <v>449</v>
      </c>
      <c r="B19" s="41" t="s">
        <v>450</v>
      </c>
      <c r="C19" s="40" t="s">
        <v>75</v>
      </c>
      <c r="D19" s="40" t="str">
        <f t="shared" si="1"/>
        <v>Debt</v>
      </c>
      <c r="E19" s="40" t="str">
        <f t="shared" si="2"/>
        <v>105L204V03</v>
      </c>
      <c r="F19" s="40" t="s">
        <v>77</v>
      </c>
      <c r="G19" s="40" t="s">
        <v>76</v>
      </c>
      <c r="H19" s="41" t="s">
        <v>451</v>
      </c>
      <c r="I19" s="42" t="s">
        <v>452</v>
      </c>
      <c r="J19" s="43" t="s">
        <v>453</v>
      </c>
      <c r="K19" s="41" t="s">
        <v>22</v>
      </c>
      <c r="L19" s="41" t="s">
        <v>19</v>
      </c>
      <c r="M19" s="41" t="s">
        <v>23</v>
      </c>
      <c r="N19" s="40"/>
    </row>
    <row r="20" ht="22.5" customHeight="1">
      <c r="A20" s="40" t="s">
        <v>449</v>
      </c>
      <c r="B20" s="41" t="s">
        <v>450</v>
      </c>
      <c r="C20" s="40" t="s">
        <v>78</v>
      </c>
      <c r="D20" s="40" t="str">
        <f t="shared" si="1"/>
        <v>Equity</v>
      </c>
      <c r="E20" s="40" t="str">
        <f t="shared" si="2"/>
        <v>105L204V03</v>
      </c>
      <c r="F20" s="40" t="s">
        <v>80</v>
      </c>
      <c r="G20" s="40" t="s">
        <v>79</v>
      </c>
      <c r="H20" s="41" t="s">
        <v>451</v>
      </c>
      <c r="I20" s="42" t="s">
        <v>452</v>
      </c>
      <c r="J20" s="43" t="s">
        <v>453</v>
      </c>
      <c r="K20" s="41" t="s">
        <v>22</v>
      </c>
      <c r="L20" s="41" t="s">
        <v>19</v>
      </c>
      <c r="M20" s="41" t="s">
        <v>23</v>
      </c>
      <c r="N20" s="40"/>
    </row>
    <row r="21" ht="22.5" customHeight="1">
      <c r="A21" s="40" t="s">
        <v>449</v>
      </c>
      <c r="B21" s="41" t="s">
        <v>450</v>
      </c>
      <c r="C21" s="40" t="s">
        <v>81</v>
      </c>
      <c r="D21" s="40" t="str">
        <f t="shared" si="1"/>
        <v>Equity</v>
      </c>
      <c r="E21" s="40" t="str">
        <f t="shared" si="2"/>
        <v>105L204V03</v>
      </c>
      <c r="F21" s="40" t="s">
        <v>83</v>
      </c>
      <c r="G21" s="40" t="s">
        <v>82</v>
      </c>
      <c r="H21" s="41" t="s">
        <v>451</v>
      </c>
      <c r="I21" s="42" t="s">
        <v>452</v>
      </c>
      <c r="J21" s="43" t="s">
        <v>453</v>
      </c>
      <c r="K21" s="41" t="s">
        <v>22</v>
      </c>
      <c r="L21" s="41" t="s">
        <v>19</v>
      </c>
      <c r="M21" s="41" t="s">
        <v>23</v>
      </c>
      <c r="N21" s="40"/>
    </row>
    <row r="22" ht="22.5" customHeight="1">
      <c r="A22" s="40" t="s">
        <v>449</v>
      </c>
      <c r="B22" s="41" t="s">
        <v>450</v>
      </c>
      <c r="C22" s="40" t="s">
        <v>84</v>
      </c>
      <c r="D22" s="40" t="str">
        <f t="shared" si="1"/>
        <v>Equity</v>
      </c>
      <c r="E22" s="40" t="str">
        <f t="shared" si="2"/>
        <v>105L204V03</v>
      </c>
      <c r="F22" s="40" t="s">
        <v>86</v>
      </c>
      <c r="G22" s="40" t="s">
        <v>85</v>
      </c>
      <c r="H22" s="41" t="s">
        <v>451</v>
      </c>
      <c r="I22" s="42" t="s">
        <v>452</v>
      </c>
      <c r="J22" s="43" t="s">
        <v>453</v>
      </c>
      <c r="K22" s="41" t="s">
        <v>22</v>
      </c>
      <c r="L22" s="41" t="s">
        <v>19</v>
      </c>
      <c r="M22" s="41" t="s">
        <v>23</v>
      </c>
      <c r="N22" s="40"/>
    </row>
    <row r="23" ht="22.5" customHeight="1">
      <c r="A23" s="40" t="s">
        <v>449</v>
      </c>
      <c r="B23" s="41" t="s">
        <v>450</v>
      </c>
      <c r="C23" s="40" t="s">
        <v>87</v>
      </c>
      <c r="D23" s="40" t="str">
        <f t="shared" si="1"/>
        <v>Equity</v>
      </c>
      <c r="E23" s="40" t="str">
        <f t="shared" si="2"/>
        <v>105L204V03</v>
      </c>
      <c r="F23" s="40" t="s">
        <v>89</v>
      </c>
      <c r="G23" s="40" t="s">
        <v>88</v>
      </c>
      <c r="H23" s="41" t="s">
        <v>451</v>
      </c>
      <c r="I23" s="42" t="s">
        <v>452</v>
      </c>
      <c r="J23" s="43" t="s">
        <v>453</v>
      </c>
      <c r="K23" s="41" t="s">
        <v>22</v>
      </c>
      <c r="L23" s="41" t="s">
        <v>19</v>
      </c>
      <c r="M23" s="41" t="s">
        <v>23</v>
      </c>
      <c r="N23" s="40"/>
    </row>
    <row r="24" ht="22.5" customHeight="1">
      <c r="A24" s="40" t="s">
        <v>449</v>
      </c>
      <c r="B24" s="41" t="s">
        <v>450</v>
      </c>
      <c r="C24" s="40" t="s">
        <v>90</v>
      </c>
      <c r="D24" s="40" t="str">
        <f t="shared" si="1"/>
        <v>Equity</v>
      </c>
      <c r="E24" s="40" t="str">
        <f t="shared" si="2"/>
        <v>105L204V03</v>
      </c>
      <c r="F24" s="40" t="s">
        <v>92</v>
      </c>
      <c r="G24" s="40" t="s">
        <v>91</v>
      </c>
      <c r="H24" s="41" t="s">
        <v>451</v>
      </c>
      <c r="I24" s="42" t="s">
        <v>452</v>
      </c>
      <c r="J24" s="43" t="s">
        <v>453</v>
      </c>
      <c r="K24" s="41" t="s">
        <v>22</v>
      </c>
      <c r="L24" s="41" t="s">
        <v>19</v>
      </c>
      <c r="M24" s="41" t="s">
        <v>23</v>
      </c>
      <c r="N24" s="40"/>
    </row>
    <row r="25" ht="22.5" customHeight="1">
      <c r="A25" s="40" t="s">
        <v>449</v>
      </c>
      <c r="B25" s="41" t="s">
        <v>450</v>
      </c>
      <c r="C25" s="40" t="s">
        <v>93</v>
      </c>
      <c r="D25" s="40" t="str">
        <f t="shared" si="1"/>
        <v>Equity</v>
      </c>
      <c r="E25" s="40" t="str">
        <f t="shared" si="2"/>
        <v>105L204V03</v>
      </c>
      <c r="F25" s="40" t="s">
        <v>95</v>
      </c>
      <c r="G25" s="40" t="s">
        <v>94</v>
      </c>
      <c r="H25" s="41" t="s">
        <v>451</v>
      </c>
      <c r="I25" s="42" t="s">
        <v>452</v>
      </c>
      <c r="J25" s="43" t="s">
        <v>453</v>
      </c>
      <c r="K25" s="41" t="s">
        <v>22</v>
      </c>
      <c r="L25" s="41" t="s">
        <v>19</v>
      </c>
      <c r="M25" s="41" t="s">
        <v>23</v>
      </c>
      <c r="N25" s="40"/>
    </row>
    <row r="26" ht="22.5" customHeight="1">
      <c r="A26" s="40" t="s">
        <v>449</v>
      </c>
      <c r="B26" s="41" t="s">
        <v>450</v>
      </c>
      <c r="C26" s="40" t="s">
        <v>96</v>
      </c>
      <c r="D26" s="40" t="str">
        <f t="shared" si="1"/>
        <v>Equity</v>
      </c>
      <c r="E26" s="40" t="str">
        <f t="shared" si="2"/>
        <v>105L204V03</v>
      </c>
      <c r="F26" s="40" t="s">
        <v>98</v>
      </c>
      <c r="G26" s="40" t="s">
        <v>97</v>
      </c>
      <c r="H26" s="41" t="s">
        <v>451</v>
      </c>
      <c r="I26" s="42" t="s">
        <v>452</v>
      </c>
      <c r="J26" s="43" t="s">
        <v>453</v>
      </c>
      <c r="K26" s="41" t="s">
        <v>22</v>
      </c>
      <c r="L26" s="41" t="s">
        <v>19</v>
      </c>
      <c r="M26" s="41" t="s">
        <v>23</v>
      </c>
      <c r="N26" s="40"/>
    </row>
    <row r="27" ht="22.5" customHeight="1">
      <c r="A27" s="40" t="s">
        <v>449</v>
      </c>
      <c r="B27" s="41" t="s">
        <v>450</v>
      </c>
      <c r="C27" s="40" t="s">
        <v>99</v>
      </c>
      <c r="D27" s="40" t="str">
        <f t="shared" si="1"/>
        <v>Equity</v>
      </c>
      <c r="E27" s="40" t="str">
        <f t="shared" si="2"/>
        <v>105L204V03</v>
      </c>
      <c r="F27" s="40" t="s">
        <v>101</v>
      </c>
      <c r="G27" s="40" t="s">
        <v>100</v>
      </c>
      <c r="H27" s="41" t="s">
        <v>451</v>
      </c>
      <c r="I27" s="42" t="s">
        <v>452</v>
      </c>
      <c r="J27" s="43" t="s">
        <v>453</v>
      </c>
      <c r="K27" s="41" t="s">
        <v>22</v>
      </c>
      <c r="L27" s="41" t="s">
        <v>19</v>
      </c>
      <c r="M27" s="41" t="s">
        <v>23</v>
      </c>
      <c r="N27" s="40"/>
    </row>
    <row r="28" ht="22.5" customHeight="1">
      <c r="A28" s="40" t="s">
        <v>449</v>
      </c>
      <c r="B28" s="41" t="s">
        <v>450</v>
      </c>
      <c r="C28" s="40" t="s">
        <v>102</v>
      </c>
      <c r="D28" s="40" t="str">
        <f t="shared" si="1"/>
        <v>Equity</v>
      </c>
      <c r="E28" s="40" t="str">
        <f t="shared" si="2"/>
        <v>105L204V03</v>
      </c>
      <c r="F28" s="40" t="s">
        <v>104</v>
      </c>
      <c r="G28" s="40" t="s">
        <v>103</v>
      </c>
      <c r="H28" s="41" t="s">
        <v>451</v>
      </c>
      <c r="I28" s="42" t="s">
        <v>452</v>
      </c>
      <c r="J28" s="43" t="s">
        <v>453</v>
      </c>
      <c r="K28" s="41" t="s">
        <v>22</v>
      </c>
      <c r="L28" s="41" t="s">
        <v>19</v>
      </c>
      <c r="M28" s="41" t="s">
        <v>23</v>
      </c>
      <c r="N28" s="40"/>
    </row>
    <row r="29" ht="22.5" customHeight="1">
      <c r="A29" s="40" t="s">
        <v>449</v>
      </c>
      <c r="B29" s="41" t="s">
        <v>450</v>
      </c>
      <c r="C29" s="40" t="s">
        <v>105</v>
      </c>
      <c r="D29" s="40" t="str">
        <f t="shared" si="1"/>
        <v>Equity</v>
      </c>
      <c r="E29" s="40" t="str">
        <f t="shared" si="2"/>
        <v>105L204V03</v>
      </c>
      <c r="F29" s="40" t="s">
        <v>107</v>
      </c>
      <c r="G29" s="40" t="s">
        <v>106</v>
      </c>
      <c r="H29" s="41" t="s">
        <v>451</v>
      </c>
      <c r="I29" s="42" t="s">
        <v>452</v>
      </c>
      <c r="J29" s="43" t="s">
        <v>453</v>
      </c>
      <c r="K29" s="41" t="s">
        <v>22</v>
      </c>
      <c r="L29" s="41" t="s">
        <v>19</v>
      </c>
      <c r="M29" s="41" t="s">
        <v>23</v>
      </c>
      <c r="N29" s="40"/>
    </row>
    <row r="30" ht="22.5" customHeight="1">
      <c r="A30" s="40" t="s">
        <v>449</v>
      </c>
      <c r="B30" s="41" t="s">
        <v>450</v>
      </c>
      <c r="C30" s="40" t="s">
        <v>108</v>
      </c>
      <c r="D30" s="40" t="str">
        <f t="shared" si="1"/>
        <v>Equity</v>
      </c>
      <c r="E30" s="40" t="str">
        <f t="shared" si="2"/>
        <v>105L204V03</v>
      </c>
      <c r="F30" s="40" t="s">
        <v>110</v>
      </c>
      <c r="G30" s="40" t="s">
        <v>109</v>
      </c>
      <c r="H30" s="41" t="s">
        <v>451</v>
      </c>
      <c r="I30" s="42" t="s">
        <v>452</v>
      </c>
      <c r="J30" s="43" t="s">
        <v>453</v>
      </c>
      <c r="K30" s="41" t="s">
        <v>22</v>
      </c>
      <c r="L30" s="41" t="s">
        <v>19</v>
      </c>
      <c r="M30" s="41" t="s">
        <v>23</v>
      </c>
      <c r="N30" s="40"/>
    </row>
    <row r="31" ht="22.5" customHeight="1">
      <c r="A31" s="40" t="s">
        <v>449</v>
      </c>
      <c r="B31" s="41" t="s">
        <v>450</v>
      </c>
      <c r="C31" s="40" t="s">
        <v>111</v>
      </c>
      <c r="D31" s="40" t="str">
        <f t="shared" si="1"/>
        <v>Equity</v>
      </c>
      <c r="E31" s="40" t="str">
        <f t="shared" si="2"/>
        <v>105L204V03</v>
      </c>
      <c r="F31" s="40" t="s">
        <v>113</v>
      </c>
      <c r="G31" s="40" t="s">
        <v>112</v>
      </c>
      <c r="H31" s="41" t="s">
        <v>451</v>
      </c>
      <c r="I31" s="42" t="s">
        <v>452</v>
      </c>
      <c r="J31" s="43" t="s">
        <v>453</v>
      </c>
      <c r="K31" s="41" t="s">
        <v>22</v>
      </c>
      <c r="L31" s="41" t="s">
        <v>19</v>
      </c>
      <c r="M31" s="41" t="s">
        <v>23</v>
      </c>
      <c r="N31" s="40"/>
    </row>
    <row r="32" ht="22.5" customHeight="1">
      <c r="A32" s="40" t="s">
        <v>449</v>
      </c>
      <c r="B32" s="41" t="s">
        <v>450</v>
      </c>
      <c r="C32" s="40" t="s">
        <v>114</v>
      </c>
      <c r="D32" s="40" t="str">
        <f t="shared" si="1"/>
        <v>Equity</v>
      </c>
      <c r="E32" s="40" t="str">
        <f t="shared" si="2"/>
        <v>105L204V03</v>
      </c>
      <c r="F32" s="40" t="s">
        <v>116</v>
      </c>
      <c r="G32" s="40" t="s">
        <v>115</v>
      </c>
      <c r="H32" s="41" t="s">
        <v>451</v>
      </c>
      <c r="I32" s="42" t="s">
        <v>452</v>
      </c>
      <c r="J32" s="43" t="s">
        <v>453</v>
      </c>
      <c r="K32" s="41" t="s">
        <v>22</v>
      </c>
      <c r="L32" s="41" t="s">
        <v>19</v>
      </c>
      <c r="M32" s="41" t="s">
        <v>23</v>
      </c>
      <c r="N32" s="40"/>
    </row>
    <row r="33" ht="22.5" customHeight="1">
      <c r="A33" s="40" t="s">
        <v>449</v>
      </c>
      <c r="B33" s="41" t="s">
        <v>450</v>
      </c>
      <c r="C33" s="40" t="s">
        <v>117</v>
      </c>
      <c r="D33" s="40" t="str">
        <f t="shared" si="1"/>
        <v>Equity</v>
      </c>
      <c r="E33" s="40" t="str">
        <f t="shared" si="2"/>
        <v>105L204V03</v>
      </c>
      <c r="F33" s="40" t="s">
        <v>119</v>
      </c>
      <c r="G33" s="40" t="s">
        <v>118</v>
      </c>
      <c r="H33" s="41" t="s">
        <v>451</v>
      </c>
      <c r="I33" s="42" t="s">
        <v>452</v>
      </c>
      <c r="J33" s="43" t="s">
        <v>453</v>
      </c>
      <c r="K33" s="41" t="s">
        <v>22</v>
      </c>
      <c r="L33" s="41" t="s">
        <v>19</v>
      </c>
      <c r="M33" s="41" t="s">
        <v>23</v>
      </c>
      <c r="N33" s="40"/>
    </row>
    <row r="34" ht="22.5" customHeight="1">
      <c r="A34" s="40" t="s">
        <v>456</v>
      </c>
      <c r="B34" s="41" t="s">
        <v>457</v>
      </c>
      <c r="C34" s="40" t="s">
        <v>15</v>
      </c>
      <c r="D34" s="40" t="str">
        <f t="shared" si="1"/>
        <v>Equity</v>
      </c>
      <c r="E34" s="40" t="str">
        <f t="shared" si="2"/>
        <v>105L177V12</v>
      </c>
      <c r="F34" s="40" t="s">
        <v>17</v>
      </c>
      <c r="G34" s="40" t="s">
        <v>16</v>
      </c>
      <c r="H34" s="41" t="s">
        <v>451</v>
      </c>
      <c r="I34" s="42" t="s">
        <v>458</v>
      </c>
      <c r="J34" s="43" t="s">
        <v>459</v>
      </c>
      <c r="K34" s="41" t="s">
        <v>22</v>
      </c>
      <c r="L34" s="40"/>
      <c r="M34" s="40"/>
      <c r="N34" s="41" t="s">
        <v>460</v>
      </c>
    </row>
    <row r="35" ht="22.5" customHeight="1">
      <c r="A35" s="40" t="s">
        <v>456</v>
      </c>
      <c r="B35" s="41" t="s">
        <v>457</v>
      </c>
      <c r="C35" s="40" t="s">
        <v>24</v>
      </c>
      <c r="D35" s="40" t="str">
        <f t="shared" si="1"/>
        <v>Equity</v>
      </c>
      <c r="E35" s="40" t="str">
        <f t="shared" si="2"/>
        <v>105L177V12</v>
      </c>
      <c r="F35" s="40" t="s">
        <v>26</v>
      </c>
      <c r="G35" s="40" t="s">
        <v>25</v>
      </c>
      <c r="H35" s="41" t="s">
        <v>451</v>
      </c>
      <c r="I35" s="42" t="s">
        <v>458</v>
      </c>
      <c r="J35" s="43" t="s">
        <v>459</v>
      </c>
      <c r="K35" s="41" t="s">
        <v>22</v>
      </c>
      <c r="L35" s="40"/>
      <c r="M35" s="40"/>
      <c r="N35" s="41" t="s">
        <v>460</v>
      </c>
    </row>
    <row r="36" ht="22.5" customHeight="1">
      <c r="A36" s="40" t="s">
        <v>456</v>
      </c>
      <c r="B36" s="41" t="s">
        <v>457</v>
      </c>
      <c r="C36" s="40" t="s">
        <v>36</v>
      </c>
      <c r="D36" s="40" t="str">
        <f t="shared" si="1"/>
        <v>Equity</v>
      </c>
      <c r="E36" s="40" t="str">
        <f t="shared" si="2"/>
        <v>105L177V12</v>
      </c>
      <c r="F36" s="40" t="s">
        <v>38</v>
      </c>
      <c r="G36" s="40" t="s">
        <v>37</v>
      </c>
      <c r="H36" s="41" t="s">
        <v>451</v>
      </c>
      <c r="I36" s="42" t="s">
        <v>458</v>
      </c>
      <c r="J36" s="43" t="s">
        <v>459</v>
      </c>
      <c r="K36" s="41" t="s">
        <v>22</v>
      </c>
      <c r="L36" s="40"/>
      <c r="M36" s="40"/>
      <c r="N36" s="41" t="s">
        <v>460</v>
      </c>
    </row>
    <row r="37" ht="22.5" customHeight="1">
      <c r="A37" s="40" t="s">
        <v>456</v>
      </c>
      <c r="B37" s="41" t="s">
        <v>457</v>
      </c>
      <c r="C37" s="40" t="s">
        <v>42</v>
      </c>
      <c r="D37" s="40" t="str">
        <f t="shared" si="1"/>
        <v>Equity</v>
      </c>
      <c r="E37" s="40" t="str">
        <f t="shared" si="2"/>
        <v>105L177V12</v>
      </c>
      <c r="F37" s="40" t="s">
        <v>44</v>
      </c>
      <c r="G37" s="40" t="s">
        <v>43</v>
      </c>
      <c r="H37" s="41" t="s">
        <v>451</v>
      </c>
      <c r="I37" s="42" t="s">
        <v>458</v>
      </c>
      <c r="J37" s="43" t="s">
        <v>459</v>
      </c>
      <c r="K37" s="40"/>
      <c r="L37" s="40"/>
      <c r="M37" s="40"/>
      <c r="N37" s="41" t="s">
        <v>460</v>
      </c>
    </row>
    <row r="38" ht="22.5" customHeight="1">
      <c r="A38" s="40" t="s">
        <v>456</v>
      </c>
      <c r="B38" s="41" t="s">
        <v>457</v>
      </c>
      <c r="C38" s="40" t="s">
        <v>30</v>
      </c>
      <c r="D38" s="40" t="str">
        <f t="shared" si="1"/>
        <v>Equity</v>
      </c>
      <c r="E38" s="40" t="str">
        <f t="shared" si="2"/>
        <v>105L177V12</v>
      </c>
      <c r="F38" s="40" t="s">
        <v>32</v>
      </c>
      <c r="G38" s="40" t="s">
        <v>31</v>
      </c>
      <c r="H38" s="41" t="s">
        <v>451</v>
      </c>
      <c r="I38" s="42" t="s">
        <v>458</v>
      </c>
      <c r="J38" s="43" t="s">
        <v>459</v>
      </c>
      <c r="K38" s="40"/>
      <c r="L38" s="40"/>
      <c r="M38" s="40"/>
      <c r="N38" s="41" t="s">
        <v>460</v>
      </c>
    </row>
    <row r="39" ht="22.5" customHeight="1">
      <c r="A39" s="40" t="s">
        <v>456</v>
      </c>
      <c r="B39" s="41" t="s">
        <v>457</v>
      </c>
      <c r="C39" s="40" t="s">
        <v>33</v>
      </c>
      <c r="D39" s="40" t="str">
        <f t="shared" si="1"/>
        <v>Equity</v>
      </c>
      <c r="E39" s="40" t="str">
        <f t="shared" si="2"/>
        <v>105L177V12</v>
      </c>
      <c r="F39" s="40" t="s">
        <v>35</v>
      </c>
      <c r="G39" s="40" t="s">
        <v>34</v>
      </c>
      <c r="H39" s="41" t="s">
        <v>451</v>
      </c>
      <c r="I39" s="42" t="s">
        <v>458</v>
      </c>
      <c r="J39" s="43" t="s">
        <v>459</v>
      </c>
      <c r="K39" s="40"/>
      <c r="L39" s="40"/>
      <c r="M39" s="40"/>
      <c r="N39" s="41" t="s">
        <v>460</v>
      </c>
    </row>
    <row r="40" ht="22.5" customHeight="1">
      <c r="A40" s="40" t="s">
        <v>456</v>
      </c>
      <c r="B40" s="41" t="s">
        <v>457</v>
      </c>
      <c r="C40" s="40" t="s">
        <v>39</v>
      </c>
      <c r="D40" s="40" t="str">
        <f t="shared" si="1"/>
        <v>Equity</v>
      </c>
      <c r="E40" s="40" t="str">
        <f t="shared" si="2"/>
        <v>105L177V12</v>
      </c>
      <c r="F40" s="40" t="s">
        <v>41</v>
      </c>
      <c r="G40" s="40" t="s">
        <v>40</v>
      </c>
      <c r="H40" s="41" t="s">
        <v>451</v>
      </c>
      <c r="I40" s="42" t="s">
        <v>458</v>
      </c>
      <c r="J40" s="43" t="s">
        <v>459</v>
      </c>
      <c r="K40" s="40"/>
      <c r="L40" s="40"/>
      <c r="M40" s="40"/>
      <c r="N40" s="41" t="s">
        <v>460</v>
      </c>
    </row>
    <row r="41" ht="22.5" customHeight="1">
      <c r="A41" s="40" t="s">
        <v>456</v>
      </c>
      <c r="B41" s="41" t="s">
        <v>457</v>
      </c>
      <c r="C41" s="41" t="s">
        <v>455</v>
      </c>
      <c r="D41" s="40" t="str">
        <f t="shared" si="1"/>
        <v>Equity</v>
      </c>
      <c r="E41" s="40" t="str">
        <f t="shared" si="2"/>
        <v>105L177V12</v>
      </c>
      <c r="F41" s="40" t="s">
        <v>29</v>
      </c>
      <c r="G41" s="40" t="s">
        <v>28</v>
      </c>
      <c r="H41" s="41" t="s">
        <v>451</v>
      </c>
      <c r="I41" s="42" t="s">
        <v>458</v>
      </c>
      <c r="J41" s="43" t="s">
        <v>459</v>
      </c>
      <c r="K41" s="40"/>
      <c r="L41" s="40"/>
      <c r="M41" s="40"/>
      <c r="N41" s="41" t="s">
        <v>460</v>
      </c>
    </row>
    <row r="42" ht="22.5" customHeight="1">
      <c r="A42" s="40" t="s">
        <v>456</v>
      </c>
      <c r="B42" s="41" t="s">
        <v>457</v>
      </c>
      <c r="C42" s="40" t="s">
        <v>45</v>
      </c>
      <c r="D42" s="40" t="str">
        <f t="shared" si="1"/>
        <v>Balanced</v>
      </c>
      <c r="E42" s="40" t="str">
        <f t="shared" si="2"/>
        <v>105L177V12</v>
      </c>
      <c r="F42" s="40" t="s">
        <v>47</v>
      </c>
      <c r="G42" s="40" t="s">
        <v>46</v>
      </c>
      <c r="H42" s="41" t="s">
        <v>451</v>
      </c>
      <c r="I42" s="42" t="s">
        <v>458</v>
      </c>
      <c r="J42" s="43" t="s">
        <v>459</v>
      </c>
      <c r="K42" s="40"/>
      <c r="L42" s="40"/>
      <c r="M42" s="40"/>
      <c r="N42" s="41" t="s">
        <v>460</v>
      </c>
    </row>
    <row r="43" ht="22.5" customHeight="1">
      <c r="A43" s="40" t="s">
        <v>456</v>
      </c>
      <c r="B43" s="41" t="s">
        <v>457</v>
      </c>
      <c r="C43" s="40" t="s">
        <v>50</v>
      </c>
      <c r="D43" s="40" t="str">
        <f t="shared" si="1"/>
        <v>Balanced</v>
      </c>
      <c r="E43" s="40" t="str">
        <f t="shared" si="2"/>
        <v>105L177V12</v>
      </c>
      <c r="F43" s="40" t="s">
        <v>52</v>
      </c>
      <c r="G43" s="40" t="s">
        <v>461</v>
      </c>
      <c r="H43" s="41" t="s">
        <v>451</v>
      </c>
      <c r="I43" s="42" t="s">
        <v>458</v>
      </c>
      <c r="J43" s="43" t="s">
        <v>459</v>
      </c>
      <c r="K43" s="40"/>
      <c r="L43" s="40"/>
      <c r="M43" s="40"/>
      <c r="N43" s="41" t="s">
        <v>460</v>
      </c>
    </row>
    <row r="44" ht="22.5" customHeight="1">
      <c r="A44" s="40" t="s">
        <v>456</v>
      </c>
      <c r="B44" s="41" t="s">
        <v>457</v>
      </c>
      <c r="C44" s="40" t="s">
        <v>53</v>
      </c>
      <c r="D44" s="40" t="str">
        <f t="shared" si="1"/>
        <v>Debt</v>
      </c>
      <c r="E44" s="40" t="str">
        <f t="shared" si="2"/>
        <v>105L177V12</v>
      </c>
      <c r="F44" s="40" t="s">
        <v>55</v>
      </c>
      <c r="G44" s="40" t="s">
        <v>54</v>
      </c>
      <c r="H44" s="41" t="s">
        <v>451</v>
      </c>
      <c r="I44" s="42" t="s">
        <v>458</v>
      </c>
      <c r="J44" s="43" t="s">
        <v>459</v>
      </c>
      <c r="K44" s="40"/>
      <c r="L44" s="40"/>
      <c r="M44" s="40"/>
      <c r="N44" s="41" t="s">
        <v>460</v>
      </c>
    </row>
    <row r="45" ht="22.5" customHeight="1">
      <c r="A45" s="40" t="s">
        <v>456</v>
      </c>
      <c r="B45" s="41" t="s">
        <v>457</v>
      </c>
      <c r="C45" s="40" t="s">
        <v>58</v>
      </c>
      <c r="D45" s="40" t="str">
        <f t="shared" si="1"/>
        <v>Debt</v>
      </c>
      <c r="E45" s="40" t="str">
        <f t="shared" si="2"/>
        <v>105L177V12</v>
      </c>
      <c r="F45" s="40" t="s">
        <v>59</v>
      </c>
      <c r="G45" s="40" t="s">
        <v>54</v>
      </c>
      <c r="H45" s="41" t="s">
        <v>451</v>
      </c>
      <c r="I45" s="42" t="s">
        <v>458</v>
      </c>
      <c r="J45" s="43" t="s">
        <v>459</v>
      </c>
      <c r="K45" s="40"/>
      <c r="L45" s="40"/>
      <c r="M45" s="40"/>
      <c r="N45" s="41" t="s">
        <v>460</v>
      </c>
    </row>
    <row r="46" ht="22.5" customHeight="1">
      <c r="A46" s="40" t="s">
        <v>456</v>
      </c>
      <c r="B46" s="41" t="s">
        <v>457</v>
      </c>
      <c r="C46" s="40" t="s">
        <v>60</v>
      </c>
      <c r="D46" s="40" t="str">
        <f t="shared" si="1"/>
        <v>Debt</v>
      </c>
      <c r="E46" s="40" t="str">
        <f t="shared" si="2"/>
        <v>105L177V12</v>
      </c>
      <c r="F46" s="40" t="s">
        <v>62</v>
      </c>
      <c r="G46" s="40" t="s">
        <v>61</v>
      </c>
      <c r="H46" s="41" t="s">
        <v>451</v>
      </c>
      <c r="I46" s="42" t="s">
        <v>458</v>
      </c>
      <c r="J46" s="43" t="s">
        <v>459</v>
      </c>
      <c r="K46" s="40"/>
      <c r="L46" s="40"/>
      <c r="M46" s="40"/>
      <c r="N46" s="41" t="s">
        <v>460</v>
      </c>
    </row>
    <row r="47" ht="22.5" customHeight="1">
      <c r="A47" s="40" t="s">
        <v>456</v>
      </c>
      <c r="B47" s="41" t="s">
        <v>457</v>
      </c>
      <c r="C47" s="40" t="s">
        <v>72</v>
      </c>
      <c r="D47" s="40" t="str">
        <f t="shared" si="1"/>
        <v>Balanced</v>
      </c>
      <c r="E47" s="40" t="str">
        <f t="shared" si="2"/>
        <v>105L177V12</v>
      </c>
      <c r="F47" s="40" t="s">
        <v>74</v>
      </c>
      <c r="G47" s="40" t="s">
        <v>462</v>
      </c>
      <c r="H47" s="41" t="s">
        <v>451</v>
      </c>
      <c r="I47" s="42" t="s">
        <v>458</v>
      </c>
      <c r="J47" s="43" t="s">
        <v>459</v>
      </c>
      <c r="K47" s="40"/>
      <c r="L47" s="40"/>
      <c r="M47" s="40"/>
      <c r="N47" s="41" t="s">
        <v>460</v>
      </c>
    </row>
    <row r="48" ht="22.5" customHeight="1">
      <c r="A48" s="40" t="s">
        <v>456</v>
      </c>
      <c r="B48" s="41" t="s">
        <v>457</v>
      </c>
      <c r="C48" s="40" t="s">
        <v>66</v>
      </c>
      <c r="D48" s="40" t="str">
        <f t="shared" si="1"/>
        <v>Equity</v>
      </c>
      <c r="E48" s="40" t="str">
        <f t="shared" si="2"/>
        <v>105L177V12</v>
      </c>
      <c r="F48" s="40" t="s">
        <v>68</v>
      </c>
      <c r="G48" s="40" t="s">
        <v>219</v>
      </c>
      <c r="H48" s="41" t="s">
        <v>451</v>
      </c>
      <c r="I48" s="42" t="s">
        <v>458</v>
      </c>
      <c r="J48" s="43" t="s">
        <v>459</v>
      </c>
      <c r="K48" s="40"/>
      <c r="L48" s="40"/>
      <c r="M48" s="40"/>
      <c r="N48" s="41" t="s">
        <v>460</v>
      </c>
    </row>
    <row r="49" ht="22.5" customHeight="1">
      <c r="A49" s="40" t="s">
        <v>456</v>
      </c>
      <c r="B49" s="41" t="s">
        <v>457</v>
      </c>
      <c r="C49" s="40" t="s">
        <v>63</v>
      </c>
      <c r="D49" s="40" t="str">
        <f t="shared" si="1"/>
        <v>Balanced</v>
      </c>
      <c r="E49" s="40" t="str">
        <f t="shared" si="2"/>
        <v>105L177V12</v>
      </c>
      <c r="F49" s="40" t="s">
        <v>65</v>
      </c>
      <c r="G49" s="40" t="s">
        <v>64</v>
      </c>
      <c r="H49" s="41" t="s">
        <v>451</v>
      </c>
      <c r="I49" s="42" t="s">
        <v>458</v>
      </c>
      <c r="J49" s="43" t="s">
        <v>459</v>
      </c>
      <c r="K49" s="40"/>
      <c r="L49" s="40"/>
      <c r="M49" s="40"/>
      <c r="N49" s="41" t="s">
        <v>460</v>
      </c>
    </row>
    <row r="50" ht="22.5" customHeight="1">
      <c r="A50" s="40" t="s">
        <v>456</v>
      </c>
      <c r="B50" s="41" t="s">
        <v>457</v>
      </c>
      <c r="C50" s="40" t="s">
        <v>75</v>
      </c>
      <c r="D50" s="40" t="str">
        <f t="shared" si="1"/>
        <v>Debt</v>
      </c>
      <c r="E50" s="40" t="str">
        <f t="shared" si="2"/>
        <v>105L177V12</v>
      </c>
      <c r="F50" s="40" t="s">
        <v>77</v>
      </c>
      <c r="G50" s="40" t="s">
        <v>76</v>
      </c>
      <c r="H50" s="41" t="s">
        <v>451</v>
      </c>
      <c r="I50" s="42" t="s">
        <v>458</v>
      </c>
      <c r="J50" s="43" t="s">
        <v>459</v>
      </c>
      <c r="K50" s="40"/>
      <c r="L50" s="40"/>
      <c r="M50" s="40"/>
      <c r="N50" s="41" t="s">
        <v>460</v>
      </c>
    </row>
    <row r="51" ht="22.5" customHeight="1">
      <c r="A51" s="40" t="s">
        <v>456</v>
      </c>
      <c r="B51" s="41" t="s">
        <v>457</v>
      </c>
      <c r="C51" s="40" t="s">
        <v>78</v>
      </c>
      <c r="D51" s="40" t="str">
        <f t="shared" si="1"/>
        <v>Equity</v>
      </c>
      <c r="E51" s="40" t="str">
        <f t="shared" si="2"/>
        <v>105L177V12</v>
      </c>
      <c r="F51" s="40" t="s">
        <v>80</v>
      </c>
      <c r="G51" s="40" t="s">
        <v>79</v>
      </c>
      <c r="H51" s="41" t="s">
        <v>451</v>
      </c>
      <c r="I51" s="42" t="s">
        <v>458</v>
      </c>
      <c r="J51" s="43" t="s">
        <v>459</v>
      </c>
      <c r="K51" s="40"/>
      <c r="L51" s="40"/>
      <c r="M51" s="40"/>
      <c r="N51" s="41" t="s">
        <v>460</v>
      </c>
    </row>
    <row r="52" ht="22.5" customHeight="1">
      <c r="A52" s="40" t="s">
        <v>456</v>
      </c>
      <c r="B52" s="41" t="s">
        <v>457</v>
      </c>
      <c r="C52" s="40" t="s">
        <v>81</v>
      </c>
      <c r="D52" s="40" t="str">
        <f t="shared" si="1"/>
        <v>Equity</v>
      </c>
      <c r="E52" s="40" t="str">
        <f t="shared" si="2"/>
        <v>105L177V12</v>
      </c>
      <c r="F52" s="40" t="s">
        <v>83</v>
      </c>
      <c r="G52" s="40" t="s">
        <v>82</v>
      </c>
      <c r="H52" s="41" t="s">
        <v>451</v>
      </c>
      <c r="I52" s="42" t="s">
        <v>458</v>
      </c>
      <c r="J52" s="43" t="s">
        <v>459</v>
      </c>
      <c r="K52" s="40"/>
      <c r="L52" s="40"/>
      <c r="M52" s="40"/>
      <c r="N52" s="41" t="s">
        <v>460</v>
      </c>
    </row>
    <row r="53" ht="22.5" customHeight="1">
      <c r="A53" s="40" t="s">
        <v>456</v>
      </c>
      <c r="B53" s="41" t="s">
        <v>457</v>
      </c>
      <c r="C53" s="40" t="s">
        <v>69</v>
      </c>
      <c r="D53" s="40" t="str">
        <f t="shared" si="1"/>
        <v>Equity</v>
      </c>
      <c r="E53" s="40" t="str">
        <f t="shared" si="2"/>
        <v>105L177V12</v>
      </c>
      <c r="F53" s="40" t="s">
        <v>71</v>
      </c>
      <c r="G53" s="40" t="s">
        <v>70</v>
      </c>
      <c r="H53" s="41" t="s">
        <v>451</v>
      </c>
      <c r="I53" s="42" t="s">
        <v>458</v>
      </c>
      <c r="J53" s="43" t="s">
        <v>459</v>
      </c>
      <c r="K53" s="40"/>
      <c r="L53" s="40"/>
      <c r="M53" s="40"/>
      <c r="N53" s="41" t="s">
        <v>460</v>
      </c>
    </row>
    <row r="54" ht="22.5" customHeight="1">
      <c r="A54" s="40" t="s">
        <v>456</v>
      </c>
      <c r="B54" s="41" t="s">
        <v>457</v>
      </c>
      <c r="C54" s="40" t="s">
        <v>87</v>
      </c>
      <c r="D54" s="40" t="str">
        <f t="shared" si="1"/>
        <v>Equity</v>
      </c>
      <c r="E54" s="40" t="str">
        <f t="shared" si="2"/>
        <v>105L177V12</v>
      </c>
      <c r="F54" s="40" t="s">
        <v>89</v>
      </c>
      <c r="G54" s="40" t="s">
        <v>463</v>
      </c>
      <c r="H54" s="41" t="s">
        <v>451</v>
      </c>
      <c r="I54" s="42" t="s">
        <v>458</v>
      </c>
      <c r="J54" s="43" t="s">
        <v>459</v>
      </c>
      <c r="K54" s="40"/>
      <c r="L54" s="40"/>
      <c r="M54" s="40"/>
      <c r="N54" s="41" t="s">
        <v>460</v>
      </c>
    </row>
    <row r="55" ht="22.5" customHeight="1">
      <c r="A55" s="40" t="s">
        <v>456</v>
      </c>
      <c r="B55" s="41" t="s">
        <v>457</v>
      </c>
      <c r="C55" s="40" t="s">
        <v>84</v>
      </c>
      <c r="D55" s="40" t="str">
        <f t="shared" si="1"/>
        <v>Equity</v>
      </c>
      <c r="E55" s="40" t="str">
        <f t="shared" si="2"/>
        <v>105L177V12</v>
      </c>
      <c r="F55" s="40" t="s">
        <v>86</v>
      </c>
      <c r="G55" s="40" t="s">
        <v>85</v>
      </c>
      <c r="H55" s="41" t="s">
        <v>451</v>
      </c>
      <c r="I55" s="42" t="s">
        <v>458</v>
      </c>
      <c r="J55" s="43" t="s">
        <v>459</v>
      </c>
      <c r="K55" s="40"/>
      <c r="L55" s="40"/>
      <c r="M55" s="40"/>
      <c r="N55" s="41" t="s">
        <v>460</v>
      </c>
    </row>
    <row r="56" ht="22.5" customHeight="1">
      <c r="A56" s="40" t="s">
        <v>456</v>
      </c>
      <c r="B56" s="41" t="s">
        <v>457</v>
      </c>
      <c r="C56" s="40" t="s">
        <v>90</v>
      </c>
      <c r="D56" s="40" t="str">
        <f t="shared" si="1"/>
        <v>Equity</v>
      </c>
      <c r="E56" s="40" t="str">
        <f t="shared" si="2"/>
        <v>105L177V12</v>
      </c>
      <c r="F56" s="40" t="s">
        <v>92</v>
      </c>
      <c r="G56" s="40" t="s">
        <v>464</v>
      </c>
      <c r="H56" s="41" t="s">
        <v>451</v>
      </c>
      <c r="I56" s="42" t="s">
        <v>458</v>
      </c>
      <c r="J56" s="43" t="s">
        <v>459</v>
      </c>
      <c r="K56" s="40"/>
      <c r="L56" s="40"/>
      <c r="M56" s="40"/>
      <c r="N56" s="41" t="s">
        <v>460</v>
      </c>
    </row>
    <row r="57" ht="22.5" customHeight="1">
      <c r="A57" s="40" t="s">
        <v>456</v>
      </c>
      <c r="B57" s="41" t="s">
        <v>457</v>
      </c>
      <c r="C57" s="40" t="s">
        <v>96</v>
      </c>
      <c r="D57" s="40" t="str">
        <f t="shared" si="1"/>
        <v>Equity</v>
      </c>
      <c r="E57" s="40" t="str">
        <f t="shared" si="2"/>
        <v>105L177V12</v>
      </c>
      <c r="F57" s="40" t="s">
        <v>98</v>
      </c>
      <c r="G57" s="40" t="s">
        <v>134</v>
      </c>
      <c r="H57" s="41" t="s">
        <v>451</v>
      </c>
      <c r="I57" s="42" t="s">
        <v>458</v>
      </c>
      <c r="J57" s="43" t="s">
        <v>459</v>
      </c>
      <c r="K57" s="40"/>
      <c r="L57" s="40"/>
      <c r="M57" s="40"/>
      <c r="N57" s="41" t="s">
        <v>460</v>
      </c>
    </row>
    <row r="58" ht="22.5" customHeight="1">
      <c r="A58" s="40" t="s">
        <v>456</v>
      </c>
      <c r="B58" s="41" t="s">
        <v>457</v>
      </c>
      <c r="C58" s="40" t="s">
        <v>99</v>
      </c>
      <c r="D58" s="40" t="str">
        <f t="shared" si="1"/>
        <v>Equity</v>
      </c>
      <c r="E58" s="40" t="str">
        <f t="shared" si="2"/>
        <v>105L177V12</v>
      </c>
      <c r="F58" s="40" t="s">
        <v>101</v>
      </c>
      <c r="G58" s="40" t="s">
        <v>100</v>
      </c>
      <c r="H58" s="41" t="s">
        <v>451</v>
      </c>
      <c r="I58" s="42" t="s">
        <v>458</v>
      </c>
      <c r="J58" s="43" t="s">
        <v>459</v>
      </c>
      <c r="K58" s="40"/>
      <c r="L58" s="40"/>
      <c r="M58" s="40"/>
      <c r="N58" s="41" t="s">
        <v>460</v>
      </c>
    </row>
    <row r="59" ht="22.5" customHeight="1">
      <c r="A59" s="40" t="s">
        <v>456</v>
      </c>
      <c r="B59" s="41" t="s">
        <v>457</v>
      </c>
      <c r="C59" s="40" t="s">
        <v>93</v>
      </c>
      <c r="D59" s="40" t="str">
        <f t="shared" si="1"/>
        <v>Equity</v>
      </c>
      <c r="E59" s="40" t="str">
        <f t="shared" si="2"/>
        <v>105L177V12</v>
      </c>
      <c r="F59" s="40" t="s">
        <v>95</v>
      </c>
      <c r="G59" s="40" t="s">
        <v>465</v>
      </c>
      <c r="H59" s="41" t="s">
        <v>451</v>
      </c>
      <c r="I59" s="42" t="s">
        <v>458</v>
      </c>
      <c r="J59" s="43" t="s">
        <v>459</v>
      </c>
      <c r="K59" s="40"/>
      <c r="L59" s="40"/>
      <c r="M59" s="40"/>
      <c r="N59" s="41" t="s">
        <v>460</v>
      </c>
    </row>
    <row r="60" ht="22.5" customHeight="1">
      <c r="A60" s="40" t="s">
        <v>456</v>
      </c>
      <c r="B60" s="41" t="s">
        <v>457</v>
      </c>
      <c r="C60" s="40" t="s">
        <v>108</v>
      </c>
      <c r="D60" s="40" t="str">
        <f t="shared" si="1"/>
        <v>Equity</v>
      </c>
      <c r="E60" s="40" t="str">
        <f t="shared" si="2"/>
        <v>105L177V12</v>
      </c>
      <c r="F60" s="40" t="s">
        <v>110</v>
      </c>
      <c r="G60" s="40" t="s">
        <v>109</v>
      </c>
      <c r="H60" s="41" t="s">
        <v>451</v>
      </c>
      <c r="I60" s="42" t="s">
        <v>458</v>
      </c>
      <c r="J60" s="43" t="s">
        <v>459</v>
      </c>
      <c r="K60" s="40"/>
      <c r="L60" s="40"/>
      <c r="M60" s="40"/>
      <c r="N60" s="41" t="s">
        <v>460</v>
      </c>
    </row>
    <row r="61" ht="22.5" customHeight="1">
      <c r="A61" s="40" t="s">
        <v>456</v>
      </c>
      <c r="B61" s="41" t="s">
        <v>457</v>
      </c>
      <c r="C61" s="40" t="s">
        <v>105</v>
      </c>
      <c r="D61" s="40" t="str">
        <f t="shared" si="1"/>
        <v>Equity</v>
      </c>
      <c r="E61" s="40" t="str">
        <f t="shared" si="2"/>
        <v>105L177V12</v>
      </c>
      <c r="F61" s="40" t="s">
        <v>107</v>
      </c>
      <c r="G61" s="40" t="s">
        <v>106</v>
      </c>
      <c r="H61" s="41" t="s">
        <v>451</v>
      </c>
      <c r="I61" s="42" t="s">
        <v>458</v>
      </c>
      <c r="J61" s="43" t="s">
        <v>459</v>
      </c>
      <c r="K61" s="40"/>
      <c r="L61" s="40"/>
      <c r="M61" s="40"/>
      <c r="N61" s="41" t="s">
        <v>460</v>
      </c>
    </row>
    <row r="62" ht="22.5" customHeight="1">
      <c r="A62" s="40" t="s">
        <v>456</v>
      </c>
      <c r="B62" s="41" t="s">
        <v>457</v>
      </c>
      <c r="C62" s="40" t="s">
        <v>102</v>
      </c>
      <c r="D62" s="40" t="str">
        <f t="shared" si="1"/>
        <v>Equity</v>
      </c>
      <c r="E62" s="40" t="str">
        <f t="shared" si="2"/>
        <v>105L177V12</v>
      </c>
      <c r="F62" s="40" t="s">
        <v>104</v>
      </c>
      <c r="G62" s="40" t="s">
        <v>103</v>
      </c>
      <c r="H62" s="41" t="s">
        <v>451</v>
      </c>
      <c r="I62" s="42" t="s">
        <v>458</v>
      </c>
      <c r="J62" s="43" t="s">
        <v>459</v>
      </c>
      <c r="K62" s="40"/>
      <c r="L62" s="40"/>
      <c r="M62" s="40"/>
      <c r="N62" s="41" t="s">
        <v>460</v>
      </c>
    </row>
    <row r="63" ht="22.5" customHeight="1">
      <c r="A63" s="40" t="s">
        <v>456</v>
      </c>
      <c r="B63" s="41" t="s">
        <v>457</v>
      </c>
      <c r="C63" s="40" t="s">
        <v>117</v>
      </c>
      <c r="D63" s="40" t="str">
        <f t="shared" si="1"/>
        <v>Equity</v>
      </c>
      <c r="E63" s="40" t="str">
        <f t="shared" si="2"/>
        <v>105L177V12</v>
      </c>
      <c r="F63" s="40" t="s">
        <v>119</v>
      </c>
      <c r="G63" s="40" t="s">
        <v>118</v>
      </c>
      <c r="H63" s="41" t="s">
        <v>451</v>
      </c>
      <c r="I63" s="42" t="s">
        <v>458</v>
      </c>
      <c r="J63" s="43" t="s">
        <v>459</v>
      </c>
      <c r="K63" s="40"/>
      <c r="L63" s="40"/>
      <c r="M63" s="40"/>
      <c r="N63" s="41" t="s">
        <v>460</v>
      </c>
    </row>
    <row r="64" ht="22.5" customHeight="1">
      <c r="A64" s="40" t="s">
        <v>456</v>
      </c>
      <c r="B64" s="41" t="s">
        <v>457</v>
      </c>
      <c r="C64" s="40" t="s">
        <v>111</v>
      </c>
      <c r="D64" s="40" t="str">
        <f t="shared" si="1"/>
        <v>Equity</v>
      </c>
      <c r="E64" s="40" t="str">
        <f t="shared" si="2"/>
        <v>105L177V12</v>
      </c>
      <c r="F64" s="40" t="s">
        <v>113</v>
      </c>
      <c r="G64" s="40" t="s">
        <v>112</v>
      </c>
      <c r="H64" s="41" t="s">
        <v>451</v>
      </c>
      <c r="I64" s="42" t="s">
        <v>458</v>
      </c>
      <c r="J64" s="43" t="s">
        <v>459</v>
      </c>
      <c r="K64" s="40"/>
      <c r="L64" s="40"/>
      <c r="M64" s="40"/>
      <c r="N64" s="41" t="s">
        <v>460</v>
      </c>
    </row>
    <row r="65" ht="22.5" customHeight="1">
      <c r="A65" s="40" t="s">
        <v>456</v>
      </c>
      <c r="B65" s="41" t="s">
        <v>457</v>
      </c>
      <c r="C65" s="40" t="s">
        <v>114</v>
      </c>
      <c r="D65" s="40" t="str">
        <f t="shared" si="1"/>
        <v>Equity</v>
      </c>
      <c r="E65" s="40" t="str">
        <f t="shared" si="2"/>
        <v>105L177V12</v>
      </c>
      <c r="F65" s="40" t="s">
        <v>116</v>
      </c>
      <c r="G65" s="40" t="s">
        <v>115</v>
      </c>
      <c r="H65" s="41" t="s">
        <v>451</v>
      </c>
      <c r="I65" s="42" t="s">
        <v>458</v>
      </c>
      <c r="J65" s="43" t="s">
        <v>459</v>
      </c>
      <c r="K65" s="40"/>
      <c r="L65" s="40"/>
      <c r="M65" s="40"/>
      <c r="N65" s="41" t="s">
        <v>460</v>
      </c>
    </row>
    <row r="66" ht="22.5" customHeight="1">
      <c r="A66" s="40" t="s">
        <v>466</v>
      </c>
      <c r="B66" s="41" t="s">
        <v>467</v>
      </c>
      <c r="C66" s="40" t="s">
        <v>15</v>
      </c>
      <c r="D66" s="40" t="str">
        <f t="shared" si="1"/>
        <v>Equity</v>
      </c>
      <c r="E66" s="40" t="str">
        <f t="shared" si="2"/>
        <v>105L196V01</v>
      </c>
      <c r="F66" s="40" t="s">
        <v>17</v>
      </c>
      <c r="G66" s="40" t="s">
        <v>16</v>
      </c>
      <c r="H66" s="41" t="s">
        <v>451</v>
      </c>
      <c r="I66" s="44" t="s">
        <v>468</v>
      </c>
      <c r="J66" s="45" t="s">
        <v>469</v>
      </c>
      <c r="K66" s="40"/>
      <c r="L66" s="40"/>
      <c r="M66" s="40"/>
      <c r="N66" s="46" t="s">
        <v>470</v>
      </c>
    </row>
    <row r="67" ht="22.5" customHeight="1">
      <c r="A67" s="40" t="s">
        <v>466</v>
      </c>
      <c r="B67" s="41" t="s">
        <v>467</v>
      </c>
      <c r="C67" s="40" t="s">
        <v>24</v>
      </c>
      <c r="D67" s="40" t="str">
        <f t="shared" si="1"/>
        <v>Equity</v>
      </c>
      <c r="E67" s="40" t="str">
        <f t="shared" si="2"/>
        <v>105L196V01</v>
      </c>
      <c r="F67" s="40" t="s">
        <v>26</v>
      </c>
      <c r="G67" s="40" t="s">
        <v>25</v>
      </c>
      <c r="H67" s="41" t="s">
        <v>451</v>
      </c>
      <c r="I67" s="44" t="s">
        <v>468</v>
      </c>
      <c r="J67" s="45" t="s">
        <v>469</v>
      </c>
      <c r="K67" s="40"/>
      <c r="L67" s="40"/>
      <c r="M67" s="40"/>
      <c r="N67" s="46" t="s">
        <v>470</v>
      </c>
    </row>
    <row r="68" ht="22.5" customHeight="1">
      <c r="A68" s="40" t="s">
        <v>466</v>
      </c>
      <c r="B68" s="41" t="s">
        <v>467</v>
      </c>
      <c r="C68" s="40" t="s">
        <v>36</v>
      </c>
      <c r="D68" s="40" t="str">
        <f t="shared" si="1"/>
        <v>Equity</v>
      </c>
      <c r="E68" s="40" t="str">
        <f t="shared" si="2"/>
        <v>105L196V01</v>
      </c>
      <c r="F68" s="40" t="s">
        <v>38</v>
      </c>
      <c r="G68" s="40" t="s">
        <v>37</v>
      </c>
      <c r="H68" s="41" t="s">
        <v>451</v>
      </c>
      <c r="I68" s="44" t="s">
        <v>468</v>
      </c>
      <c r="J68" s="45" t="s">
        <v>469</v>
      </c>
      <c r="K68" s="40"/>
      <c r="L68" s="40"/>
      <c r="M68" s="40"/>
      <c r="N68" s="46" t="s">
        <v>470</v>
      </c>
    </row>
    <row r="69" ht="22.5" customHeight="1">
      <c r="A69" s="40" t="s">
        <v>466</v>
      </c>
      <c r="B69" s="41" t="s">
        <v>467</v>
      </c>
      <c r="C69" s="40" t="s">
        <v>42</v>
      </c>
      <c r="D69" s="40" t="str">
        <f t="shared" si="1"/>
        <v>Equity</v>
      </c>
      <c r="E69" s="40" t="str">
        <f t="shared" si="2"/>
        <v>105L196V01</v>
      </c>
      <c r="F69" s="40" t="s">
        <v>44</v>
      </c>
      <c r="G69" s="40" t="s">
        <v>43</v>
      </c>
      <c r="H69" s="41" t="s">
        <v>451</v>
      </c>
      <c r="I69" s="44" t="s">
        <v>468</v>
      </c>
      <c r="J69" s="45" t="s">
        <v>469</v>
      </c>
      <c r="K69" s="40"/>
      <c r="L69" s="40"/>
      <c r="M69" s="40"/>
      <c r="N69" s="46" t="s">
        <v>470</v>
      </c>
    </row>
    <row r="70" ht="22.5" customHeight="1">
      <c r="A70" s="40" t="s">
        <v>466</v>
      </c>
      <c r="B70" s="41" t="s">
        <v>467</v>
      </c>
      <c r="C70" s="40" t="s">
        <v>39</v>
      </c>
      <c r="D70" s="40" t="str">
        <f t="shared" si="1"/>
        <v>Equity</v>
      </c>
      <c r="E70" s="40" t="str">
        <f t="shared" si="2"/>
        <v>105L196V01</v>
      </c>
      <c r="F70" s="40" t="s">
        <v>41</v>
      </c>
      <c r="G70" s="40" t="s">
        <v>40</v>
      </c>
      <c r="H70" s="41" t="s">
        <v>451</v>
      </c>
      <c r="I70" s="44" t="s">
        <v>468</v>
      </c>
      <c r="J70" s="45" t="s">
        <v>469</v>
      </c>
      <c r="K70" s="40"/>
      <c r="L70" s="40"/>
      <c r="M70" s="40"/>
      <c r="N70" s="46" t="s">
        <v>470</v>
      </c>
    </row>
    <row r="71" ht="22.5" customHeight="1">
      <c r="A71" s="40" t="s">
        <v>466</v>
      </c>
      <c r="B71" s="41" t="s">
        <v>467</v>
      </c>
      <c r="C71" s="41" t="s">
        <v>455</v>
      </c>
      <c r="D71" s="40" t="str">
        <f t="shared" si="1"/>
        <v>Equity</v>
      </c>
      <c r="E71" s="40" t="str">
        <f t="shared" si="2"/>
        <v>105L196V01</v>
      </c>
      <c r="F71" s="40" t="s">
        <v>29</v>
      </c>
      <c r="G71" s="40" t="s">
        <v>28</v>
      </c>
      <c r="H71" s="41" t="s">
        <v>451</v>
      </c>
      <c r="I71" s="44" t="s">
        <v>468</v>
      </c>
      <c r="J71" s="45" t="s">
        <v>469</v>
      </c>
      <c r="K71" s="40"/>
      <c r="L71" s="40"/>
      <c r="M71" s="40"/>
      <c r="N71" s="46" t="s">
        <v>470</v>
      </c>
    </row>
    <row r="72" ht="22.5" customHeight="1">
      <c r="A72" s="40" t="s">
        <v>466</v>
      </c>
      <c r="B72" s="41" t="s">
        <v>467</v>
      </c>
      <c r="C72" s="40" t="s">
        <v>30</v>
      </c>
      <c r="D72" s="40" t="str">
        <f t="shared" si="1"/>
        <v>Equity</v>
      </c>
      <c r="E72" s="40" t="str">
        <f t="shared" si="2"/>
        <v>105L196V01</v>
      </c>
      <c r="F72" s="40" t="s">
        <v>32</v>
      </c>
      <c r="G72" s="40" t="s">
        <v>31</v>
      </c>
      <c r="H72" s="41" t="s">
        <v>451</v>
      </c>
      <c r="I72" s="44" t="s">
        <v>468</v>
      </c>
      <c r="J72" s="45" t="s">
        <v>469</v>
      </c>
      <c r="K72" s="40"/>
      <c r="L72" s="40"/>
      <c r="M72" s="40"/>
      <c r="N72" s="46" t="s">
        <v>470</v>
      </c>
    </row>
    <row r="73" ht="22.5" customHeight="1">
      <c r="A73" s="40" t="s">
        <v>466</v>
      </c>
      <c r="B73" s="41" t="s">
        <v>467</v>
      </c>
      <c r="C73" s="40" t="s">
        <v>33</v>
      </c>
      <c r="D73" s="40" t="str">
        <f t="shared" si="1"/>
        <v>Equity</v>
      </c>
      <c r="E73" s="40" t="str">
        <f t="shared" si="2"/>
        <v>105L196V01</v>
      </c>
      <c r="F73" s="40" t="s">
        <v>35</v>
      </c>
      <c r="G73" s="40" t="s">
        <v>34</v>
      </c>
      <c r="H73" s="41" t="s">
        <v>451</v>
      </c>
      <c r="I73" s="44" t="s">
        <v>468</v>
      </c>
      <c r="J73" s="45" t="s">
        <v>469</v>
      </c>
      <c r="K73" s="40"/>
      <c r="L73" s="40"/>
      <c r="M73" s="40"/>
      <c r="N73" s="46" t="s">
        <v>470</v>
      </c>
    </row>
    <row r="74" ht="22.5" customHeight="1">
      <c r="A74" s="40" t="s">
        <v>466</v>
      </c>
      <c r="B74" s="41" t="s">
        <v>467</v>
      </c>
      <c r="C74" s="40" t="s">
        <v>45</v>
      </c>
      <c r="D74" s="40" t="str">
        <f t="shared" si="1"/>
        <v>Balanced</v>
      </c>
      <c r="E74" s="40" t="str">
        <f t="shared" si="2"/>
        <v>105L196V01</v>
      </c>
      <c r="F74" s="40" t="s">
        <v>47</v>
      </c>
      <c r="G74" s="40" t="s">
        <v>46</v>
      </c>
      <c r="H74" s="41" t="s">
        <v>451</v>
      </c>
      <c r="I74" s="44" t="s">
        <v>468</v>
      </c>
      <c r="J74" s="45" t="s">
        <v>469</v>
      </c>
      <c r="K74" s="40"/>
      <c r="L74" s="40"/>
      <c r="M74" s="40"/>
      <c r="N74" s="46" t="s">
        <v>470</v>
      </c>
    </row>
    <row r="75" ht="22.5" customHeight="1">
      <c r="A75" s="40" t="s">
        <v>466</v>
      </c>
      <c r="B75" s="41" t="s">
        <v>467</v>
      </c>
      <c r="C75" s="40" t="s">
        <v>50</v>
      </c>
      <c r="D75" s="40" t="str">
        <f t="shared" si="1"/>
        <v>Balanced</v>
      </c>
      <c r="E75" s="40" t="str">
        <f t="shared" si="2"/>
        <v>105L196V01</v>
      </c>
      <c r="F75" s="40" t="s">
        <v>52</v>
      </c>
      <c r="G75" s="40" t="s">
        <v>51</v>
      </c>
      <c r="H75" s="41" t="s">
        <v>451</v>
      </c>
      <c r="I75" s="44" t="s">
        <v>468</v>
      </c>
      <c r="J75" s="45" t="s">
        <v>469</v>
      </c>
      <c r="K75" s="40"/>
      <c r="L75" s="40"/>
      <c r="M75" s="40"/>
      <c r="N75" s="46" t="s">
        <v>470</v>
      </c>
    </row>
    <row r="76" ht="22.5" customHeight="1">
      <c r="A76" s="40" t="s">
        <v>466</v>
      </c>
      <c r="B76" s="41" t="s">
        <v>467</v>
      </c>
      <c r="C76" s="40" t="s">
        <v>53</v>
      </c>
      <c r="D76" s="40" t="str">
        <f t="shared" si="1"/>
        <v>Debt</v>
      </c>
      <c r="E76" s="40" t="str">
        <f t="shared" si="2"/>
        <v>105L196V01</v>
      </c>
      <c r="F76" s="40" t="s">
        <v>55</v>
      </c>
      <c r="G76" s="40" t="s">
        <v>54</v>
      </c>
      <c r="H76" s="41" t="s">
        <v>451</v>
      </c>
      <c r="I76" s="44" t="s">
        <v>468</v>
      </c>
      <c r="J76" s="45" t="s">
        <v>469</v>
      </c>
      <c r="K76" s="40"/>
      <c r="L76" s="40"/>
      <c r="M76" s="40"/>
      <c r="N76" s="46" t="s">
        <v>470</v>
      </c>
    </row>
    <row r="77" ht="22.5" customHeight="1">
      <c r="A77" s="40" t="s">
        <v>466</v>
      </c>
      <c r="B77" s="41" t="s">
        <v>467</v>
      </c>
      <c r="C77" s="40" t="s">
        <v>58</v>
      </c>
      <c r="D77" s="40" t="str">
        <f t="shared" si="1"/>
        <v>Debt</v>
      </c>
      <c r="E77" s="40" t="str">
        <f t="shared" si="2"/>
        <v>105L196V01</v>
      </c>
      <c r="F77" s="40" t="s">
        <v>59</v>
      </c>
      <c r="G77" s="40" t="s">
        <v>54</v>
      </c>
      <c r="H77" s="41" t="s">
        <v>451</v>
      </c>
      <c r="I77" s="44" t="s">
        <v>468</v>
      </c>
      <c r="J77" s="45" t="s">
        <v>469</v>
      </c>
      <c r="K77" s="40"/>
      <c r="L77" s="40"/>
      <c r="M77" s="40"/>
      <c r="N77" s="46" t="s">
        <v>470</v>
      </c>
    </row>
    <row r="78" ht="22.5" customHeight="1">
      <c r="A78" s="40" t="s">
        <v>466</v>
      </c>
      <c r="B78" s="41" t="s">
        <v>467</v>
      </c>
      <c r="C78" s="40" t="s">
        <v>60</v>
      </c>
      <c r="D78" s="40" t="str">
        <f t="shared" si="1"/>
        <v>Debt</v>
      </c>
      <c r="E78" s="40" t="str">
        <f t="shared" si="2"/>
        <v>105L196V01</v>
      </c>
      <c r="F78" s="40" t="s">
        <v>62</v>
      </c>
      <c r="G78" s="40" t="s">
        <v>61</v>
      </c>
      <c r="H78" s="41" t="s">
        <v>451</v>
      </c>
      <c r="I78" s="44" t="s">
        <v>468</v>
      </c>
      <c r="J78" s="45" t="s">
        <v>469</v>
      </c>
      <c r="K78" s="40"/>
      <c r="L78" s="40"/>
      <c r="M78" s="40"/>
      <c r="N78" s="46" t="s">
        <v>470</v>
      </c>
    </row>
    <row r="79" ht="22.5" customHeight="1">
      <c r="A79" s="40" t="s">
        <v>466</v>
      </c>
      <c r="B79" s="41" t="s">
        <v>467</v>
      </c>
      <c r="C79" s="40" t="s">
        <v>63</v>
      </c>
      <c r="D79" s="40" t="str">
        <f t="shared" si="1"/>
        <v>Balanced</v>
      </c>
      <c r="E79" s="40" t="str">
        <f t="shared" si="2"/>
        <v>105L196V01</v>
      </c>
      <c r="F79" s="40" t="s">
        <v>65</v>
      </c>
      <c r="G79" s="40" t="s">
        <v>64</v>
      </c>
      <c r="H79" s="41" t="s">
        <v>451</v>
      </c>
      <c r="I79" s="44" t="s">
        <v>468</v>
      </c>
      <c r="J79" s="45" t="s">
        <v>469</v>
      </c>
      <c r="K79" s="40"/>
      <c r="L79" s="40"/>
      <c r="M79" s="40"/>
      <c r="N79" s="46" t="s">
        <v>470</v>
      </c>
    </row>
    <row r="80" ht="22.5" customHeight="1">
      <c r="A80" s="40" t="s">
        <v>466</v>
      </c>
      <c r="B80" s="41" t="s">
        <v>467</v>
      </c>
      <c r="C80" s="40" t="s">
        <v>75</v>
      </c>
      <c r="D80" s="40" t="str">
        <f t="shared" si="1"/>
        <v>Debt</v>
      </c>
      <c r="E80" s="40" t="str">
        <f t="shared" si="2"/>
        <v>105L196V01</v>
      </c>
      <c r="F80" s="40" t="s">
        <v>77</v>
      </c>
      <c r="G80" s="40" t="s">
        <v>76</v>
      </c>
      <c r="H80" s="41" t="s">
        <v>451</v>
      </c>
      <c r="I80" s="44" t="s">
        <v>468</v>
      </c>
      <c r="J80" s="45" t="s">
        <v>469</v>
      </c>
      <c r="K80" s="40"/>
      <c r="L80" s="40"/>
      <c r="M80" s="40"/>
      <c r="N80" s="46" t="s">
        <v>470</v>
      </c>
    </row>
    <row r="81" ht="22.5" customHeight="1">
      <c r="A81" s="40" t="s">
        <v>466</v>
      </c>
      <c r="B81" s="41" t="s">
        <v>467</v>
      </c>
      <c r="C81" s="40" t="s">
        <v>66</v>
      </c>
      <c r="D81" s="40" t="str">
        <f t="shared" si="1"/>
        <v>Equity</v>
      </c>
      <c r="E81" s="40" t="str">
        <f t="shared" si="2"/>
        <v>105L196V01</v>
      </c>
      <c r="F81" s="40" t="s">
        <v>68</v>
      </c>
      <c r="G81" s="40" t="s">
        <v>219</v>
      </c>
      <c r="H81" s="41" t="s">
        <v>451</v>
      </c>
      <c r="I81" s="44" t="s">
        <v>468</v>
      </c>
      <c r="J81" s="45" t="s">
        <v>469</v>
      </c>
      <c r="K81" s="40"/>
      <c r="L81" s="40"/>
      <c r="M81" s="40"/>
      <c r="N81" s="46" t="s">
        <v>470</v>
      </c>
    </row>
    <row r="82" ht="22.5" customHeight="1">
      <c r="A82" s="40" t="s">
        <v>466</v>
      </c>
      <c r="B82" s="41" t="s">
        <v>467</v>
      </c>
      <c r="C82" s="40" t="s">
        <v>69</v>
      </c>
      <c r="D82" s="40" t="str">
        <f t="shared" si="1"/>
        <v>Equity</v>
      </c>
      <c r="E82" s="40" t="str">
        <f t="shared" si="2"/>
        <v>105L196V01</v>
      </c>
      <c r="F82" s="40" t="s">
        <v>71</v>
      </c>
      <c r="G82" s="40" t="s">
        <v>70</v>
      </c>
      <c r="H82" s="41" t="s">
        <v>451</v>
      </c>
      <c r="I82" s="44" t="s">
        <v>468</v>
      </c>
      <c r="J82" s="45" t="s">
        <v>469</v>
      </c>
      <c r="K82" s="40"/>
      <c r="L82" s="40"/>
      <c r="M82" s="40"/>
      <c r="N82" s="46" t="s">
        <v>470</v>
      </c>
    </row>
    <row r="83" ht="22.5" customHeight="1">
      <c r="A83" s="40" t="s">
        <v>466</v>
      </c>
      <c r="B83" s="41" t="s">
        <v>467</v>
      </c>
      <c r="C83" s="40" t="s">
        <v>72</v>
      </c>
      <c r="D83" s="40" t="str">
        <f t="shared" si="1"/>
        <v>Balanced</v>
      </c>
      <c r="E83" s="40" t="str">
        <f t="shared" si="2"/>
        <v>105L196V01</v>
      </c>
      <c r="F83" s="40" t="s">
        <v>74</v>
      </c>
      <c r="G83" s="40" t="s">
        <v>462</v>
      </c>
      <c r="H83" s="41" t="s">
        <v>451</v>
      </c>
      <c r="I83" s="44" t="s">
        <v>468</v>
      </c>
      <c r="J83" s="45" t="s">
        <v>469</v>
      </c>
      <c r="K83" s="40"/>
      <c r="L83" s="40"/>
      <c r="M83" s="40"/>
      <c r="N83" s="46" t="s">
        <v>470</v>
      </c>
    </row>
    <row r="84" ht="22.5" customHeight="1">
      <c r="A84" s="40" t="s">
        <v>466</v>
      </c>
      <c r="B84" s="41" t="s">
        <v>467</v>
      </c>
      <c r="C84" s="40" t="s">
        <v>87</v>
      </c>
      <c r="D84" s="40" t="str">
        <f t="shared" si="1"/>
        <v>Equity</v>
      </c>
      <c r="E84" s="40" t="str">
        <f t="shared" si="2"/>
        <v>105L196V01</v>
      </c>
      <c r="F84" s="40" t="s">
        <v>89</v>
      </c>
      <c r="G84" s="40" t="s">
        <v>88</v>
      </c>
      <c r="H84" s="41" t="s">
        <v>451</v>
      </c>
      <c r="I84" s="44" t="s">
        <v>468</v>
      </c>
      <c r="J84" s="45" t="s">
        <v>469</v>
      </c>
      <c r="K84" s="40"/>
      <c r="L84" s="40"/>
      <c r="M84" s="40"/>
      <c r="N84" s="46" t="s">
        <v>470</v>
      </c>
    </row>
    <row r="85" ht="22.5" customHeight="1">
      <c r="A85" s="40" t="s">
        <v>466</v>
      </c>
      <c r="B85" s="41" t="s">
        <v>467</v>
      </c>
      <c r="C85" s="40" t="s">
        <v>78</v>
      </c>
      <c r="D85" s="40" t="str">
        <f t="shared" si="1"/>
        <v>Equity</v>
      </c>
      <c r="E85" s="40" t="str">
        <f t="shared" si="2"/>
        <v>105L196V01</v>
      </c>
      <c r="F85" s="40" t="s">
        <v>80</v>
      </c>
      <c r="G85" s="40" t="s">
        <v>79</v>
      </c>
      <c r="H85" s="41" t="s">
        <v>451</v>
      </c>
      <c r="I85" s="44" t="s">
        <v>468</v>
      </c>
      <c r="J85" s="45" t="s">
        <v>469</v>
      </c>
      <c r="K85" s="40"/>
      <c r="L85" s="40"/>
      <c r="M85" s="40"/>
      <c r="N85" s="46" t="s">
        <v>470</v>
      </c>
    </row>
    <row r="86" ht="22.5" customHeight="1">
      <c r="A86" s="40" t="s">
        <v>466</v>
      </c>
      <c r="B86" s="41" t="s">
        <v>467</v>
      </c>
      <c r="C86" s="40" t="s">
        <v>81</v>
      </c>
      <c r="D86" s="40" t="str">
        <f t="shared" si="1"/>
        <v>Equity</v>
      </c>
      <c r="E86" s="40" t="str">
        <f t="shared" si="2"/>
        <v>105L196V01</v>
      </c>
      <c r="F86" s="40" t="s">
        <v>83</v>
      </c>
      <c r="G86" s="40" t="s">
        <v>82</v>
      </c>
      <c r="H86" s="41" t="s">
        <v>451</v>
      </c>
      <c r="I86" s="44" t="s">
        <v>468</v>
      </c>
      <c r="J86" s="45" t="s">
        <v>469</v>
      </c>
      <c r="K86" s="40"/>
      <c r="L86" s="40"/>
      <c r="M86" s="40"/>
      <c r="N86" s="46" t="s">
        <v>470</v>
      </c>
    </row>
    <row r="87" ht="22.5" customHeight="1">
      <c r="A87" s="40" t="s">
        <v>466</v>
      </c>
      <c r="B87" s="41" t="s">
        <v>467</v>
      </c>
      <c r="C87" s="40" t="s">
        <v>84</v>
      </c>
      <c r="D87" s="40" t="str">
        <f t="shared" si="1"/>
        <v>Equity</v>
      </c>
      <c r="E87" s="40" t="str">
        <f t="shared" si="2"/>
        <v>105L196V01</v>
      </c>
      <c r="F87" s="40" t="s">
        <v>86</v>
      </c>
      <c r="G87" s="40" t="s">
        <v>85</v>
      </c>
      <c r="H87" s="41" t="s">
        <v>451</v>
      </c>
      <c r="I87" s="44" t="s">
        <v>468</v>
      </c>
      <c r="J87" s="45" t="s">
        <v>469</v>
      </c>
      <c r="K87" s="40"/>
      <c r="L87" s="40"/>
      <c r="M87" s="40"/>
      <c r="N87" s="46" t="s">
        <v>470</v>
      </c>
    </row>
    <row r="88" ht="22.5" customHeight="1">
      <c r="A88" s="40" t="s">
        <v>466</v>
      </c>
      <c r="B88" s="41" t="s">
        <v>467</v>
      </c>
      <c r="C88" s="40" t="s">
        <v>90</v>
      </c>
      <c r="D88" s="40" t="str">
        <f t="shared" si="1"/>
        <v>Equity</v>
      </c>
      <c r="E88" s="40" t="str">
        <f t="shared" si="2"/>
        <v>105L196V01</v>
      </c>
      <c r="F88" s="40" t="s">
        <v>92</v>
      </c>
      <c r="G88" s="40" t="s">
        <v>91</v>
      </c>
      <c r="H88" s="41" t="s">
        <v>451</v>
      </c>
      <c r="I88" s="44" t="s">
        <v>468</v>
      </c>
      <c r="J88" s="45" t="s">
        <v>469</v>
      </c>
      <c r="K88" s="40"/>
      <c r="L88" s="40"/>
      <c r="M88" s="40"/>
      <c r="N88" s="46" t="s">
        <v>470</v>
      </c>
    </row>
    <row r="89" ht="22.5" customHeight="1">
      <c r="A89" s="40" t="s">
        <v>466</v>
      </c>
      <c r="B89" s="41" t="s">
        <v>467</v>
      </c>
      <c r="C89" s="40" t="s">
        <v>96</v>
      </c>
      <c r="D89" s="40" t="str">
        <f t="shared" si="1"/>
        <v>Equity</v>
      </c>
      <c r="E89" s="40" t="str">
        <f t="shared" si="2"/>
        <v>105L196V01</v>
      </c>
      <c r="F89" s="40" t="s">
        <v>98</v>
      </c>
      <c r="G89" s="40" t="s">
        <v>134</v>
      </c>
      <c r="H89" s="41" t="s">
        <v>451</v>
      </c>
      <c r="I89" s="44" t="s">
        <v>468</v>
      </c>
      <c r="J89" s="45" t="s">
        <v>469</v>
      </c>
      <c r="K89" s="40"/>
      <c r="L89" s="40"/>
      <c r="M89" s="40"/>
      <c r="N89" s="46" t="s">
        <v>470</v>
      </c>
    </row>
    <row r="90" ht="22.5" customHeight="1">
      <c r="A90" s="40" t="s">
        <v>466</v>
      </c>
      <c r="B90" s="41" t="s">
        <v>467</v>
      </c>
      <c r="C90" s="40" t="s">
        <v>93</v>
      </c>
      <c r="D90" s="40" t="str">
        <f t="shared" si="1"/>
        <v>Equity</v>
      </c>
      <c r="E90" s="40" t="str">
        <f t="shared" si="2"/>
        <v>105L196V01</v>
      </c>
      <c r="F90" s="40" t="s">
        <v>95</v>
      </c>
      <c r="G90" s="40" t="s">
        <v>465</v>
      </c>
      <c r="H90" s="41" t="s">
        <v>451</v>
      </c>
      <c r="I90" s="44" t="s">
        <v>468</v>
      </c>
      <c r="J90" s="45" t="s">
        <v>469</v>
      </c>
      <c r="K90" s="40"/>
      <c r="L90" s="40"/>
      <c r="M90" s="40"/>
      <c r="N90" s="46" t="s">
        <v>470</v>
      </c>
    </row>
    <row r="91" ht="22.5" customHeight="1">
      <c r="A91" s="40" t="s">
        <v>466</v>
      </c>
      <c r="B91" s="41" t="s">
        <v>467</v>
      </c>
      <c r="C91" s="40" t="s">
        <v>99</v>
      </c>
      <c r="D91" s="40" t="str">
        <f t="shared" si="1"/>
        <v>Equity</v>
      </c>
      <c r="E91" s="40" t="str">
        <f t="shared" si="2"/>
        <v>105L196V01</v>
      </c>
      <c r="F91" s="40" t="s">
        <v>101</v>
      </c>
      <c r="G91" s="40" t="s">
        <v>100</v>
      </c>
      <c r="H91" s="41" t="s">
        <v>451</v>
      </c>
      <c r="I91" s="44" t="s">
        <v>468</v>
      </c>
      <c r="J91" s="45" t="s">
        <v>469</v>
      </c>
      <c r="K91" s="40"/>
      <c r="L91" s="40"/>
      <c r="M91" s="40"/>
      <c r="N91" s="46" t="s">
        <v>470</v>
      </c>
    </row>
    <row r="92" ht="22.5" customHeight="1">
      <c r="A92" s="40" t="s">
        <v>466</v>
      </c>
      <c r="B92" s="41" t="s">
        <v>467</v>
      </c>
      <c r="C92" s="40" t="s">
        <v>102</v>
      </c>
      <c r="D92" s="40" t="str">
        <f t="shared" si="1"/>
        <v>Equity</v>
      </c>
      <c r="E92" s="40" t="str">
        <f t="shared" si="2"/>
        <v>105L196V01</v>
      </c>
      <c r="F92" s="40" t="s">
        <v>104</v>
      </c>
      <c r="G92" s="40" t="s">
        <v>103</v>
      </c>
      <c r="H92" s="41" t="s">
        <v>451</v>
      </c>
      <c r="I92" s="44" t="s">
        <v>468</v>
      </c>
      <c r="J92" s="45" t="s">
        <v>469</v>
      </c>
      <c r="K92" s="40"/>
      <c r="L92" s="40"/>
      <c r="M92" s="40"/>
      <c r="N92" s="46" t="s">
        <v>470</v>
      </c>
    </row>
    <row r="93" ht="22.5" customHeight="1">
      <c r="A93" s="40" t="s">
        <v>466</v>
      </c>
      <c r="B93" s="41" t="s">
        <v>467</v>
      </c>
      <c r="C93" s="40" t="s">
        <v>105</v>
      </c>
      <c r="D93" s="40" t="str">
        <f t="shared" si="1"/>
        <v>Equity</v>
      </c>
      <c r="E93" s="40" t="str">
        <f t="shared" si="2"/>
        <v>105L196V01</v>
      </c>
      <c r="F93" s="40" t="s">
        <v>107</v>
      </c>
      <c r="G93" s="40" t="s">
        <v>106</v>
      </c>
      <c r="H93" s="41" t="s">
        <v>451</v>
      </c>
      <c r="I93" s="44" t="s">
        <v>468</v>
      </c>
      <c r="J93" s="45" t="s">
        <v>469</v>
      </c>
      <c r="K93" s="40"/>
      <c r="L93" s="40"/>
      <c r="M93" s="40"/>
      <c r="N93" s="46" t="s">
        <v>470</v>
      </c>
    </row>
    <row r="94" ht="22.5" customHeight="1">
      <c r="A94" s="40" t="s">
        <v>466</v>
      </c>
      <c r="B94" s="41" t="s">
        <v>467</v>
      </c>
      <c r="C94" s="40" t="s">
        <v>108</v>
      </c>
      <c r="D94" s="40" t="str">
        <f t="shared" si="1"/>
        <v>Equity</v>
      </c>
      <c r="E94" s="40" t="str">
        <f t="shared" si="2"/>
        <v>105L196V01</v>
      </c>
      <c r="F94" s="40" t="s">
        <v>107</v>
      </c>
      <c r="G94" s="40" t="s">
        <v>109</v>
      </c>
      <c r="H94" s="41" t="s">
        <v>451</v>
      </c>
      <c r="I94" s="44" t="s">
        <v>468</v>
      </c>
      <c r="J94" s="45" t="s">
        <v>469</v>
      </c>
      <c r="K94" s="40"/>
      <c r="L94" s="40"/>
      <c r="M94" s="40"/>
      <c r="N94" s="46" t="s">
        <v>470</v>
      </c>
    </row>
    <row r="95" ht="22.5" customHeight="1">
      <c r="A95" s="40" t="s">
        <v>466</v>
      </c>
      <c r="B95" s="41" t="s">
        <v>467</v>
      </c>
      <c r="C95" s="40" t="s">
        <v>111</v>
      </c>
      <c r="D95" s="40" t="str">
        <f t="shared" si="1"/>
        <v>Equity</v>
      </c>
      <c r="E95" s="40" t="str">
        <f t="shared" si="2"/>
        <v>105L196V01</v>
      </c>
      <c r="F95" s="40" t="s">
        <v>113</v>
      </c>
      <c r="G95" s="40" t="s">
        <v>112</v>
      </c>
      <c r="H95" s="41" t="s">
        <v>451</v>
      </c>
      <c r="I95" s="44" t="s">
        <v>468</v>
      </c>
      <c r="J95" s="45" t="s">
        <v>469</v>
      </c>
      <c r="K95" s="40"/>
      <c r="L95" s="40"/>
      <c r="M95" s="40"/>
      <c r="N95" s="46" t="s">
        <v>470</v>
      </c>
    </row>
    <row r="96" ht="22.5" customHeight="1">
      <c r="A96" s="40" t="s">
        <v>466</v>
      </c>
      <c r="B96" s="41" t="s">
        <v>467</v>
      </c>
      <c r="C96" s="40" t="s">
        <v>117</v>
      </c>
      <c r="D96" s="40" t="str">
        <f t="shared" si="1"/>
        <v>Equity</v>
      </c>
      <c r="E96" s="40" t="str">
        <f t="shared" si="2"/>
        <v>105L196V01</v>
      </c>
      <c r="F96" s="40" t="s">
        <v>119</v>
      </c>
      <c r="G96" s="40" t="s">
        <v>118</v>
      </c>
      <c r="H96" s="41" t="s">
        <v>451</v>
      </c>
      <c r="I96" s="44" t="s">
        <v>468</v>
      </c>
      <c r="J96" s="45" t="s">
        <v>469</v>
      </c>
      <c r="K96" s="40"/>
      <c r="L96" s="40"/>
      <c r="M96" s="40"/>
      <c r="N96" s="46" t="s">
        <v>470</v>
      </c>
    </row>
    <row r="97" ht="22.5" customHeight="1">
      <c r="A97" s="40" t="s">
        <v>466</v>
      </c>
      <c r="B97" s="41" t="s">
        <v>467</v>
      </c>
      <c r="C97" s="40" t="s">
        <v>114</v>
      </c>
      <c r="D97" s="40" t="str">
        <f t="shared" si="1"/>
        <v>Equity</v>
      </c>
      <c r="E97" s="40" t="str">
        <f t="shared" si="2"/>
        <v>105L196V01</v>
      </c>
      <c r="F97" s="40" t="s">
        <v>116</v>
      </c>
      <c r="G97" s="40" t="s">
        <v>115</v>
      </c>
      <c r="H97" s="41" t="s">
        <v>451</v>
      </c>
      <c r="I97" s="44" t="s">
        <v>468</v>
      </c>
      <c r="J97" s="45" t="s">
        <v>469</v>
      </c>
      <c r="K97" s="40"/>
      <c r="L97" s="40"/>
      <c r="M97" s="40"/>
      <c r="N97" s="46" t="s">
        <v>470</v>
      </c>
    </row>
    <row r="98" ht="22.5" customHeight="1">
      <c r="A98" s="40" t="s">
        <v>471</v>
      </c>
      <c r="B98" s="41" t="s">
        <v>472</v>
      </c>
      <c r="C98" s="40" t="s">
        <v>42</v>
      </c>
      <c r="D98" s="40" t="str">
        <f t="shared" si="1"/>
        <v>Equity</v>
      </c>
      <c r="E98" s="40" t="str">
        <f t="shared" si="2"/>
        <v>105L175V10</v>
      </c>
      <c r="F98" s="40" t="s">
        <v>44</v>
      </c>
      <c r="G98" s="40" t="s">
        <v>43</v>
      </c>
      <c r="H98" s="41" t="s">
        <v>451</v>
      </c>
      <c r="I98" s="44" t="s">
        <v>473</v>
      </c>
      <c r="J98" s="47" t="s">
        <v>474</v>
      </c>
      <c r="K98" s="40"/>
      <c r="L98" s="40"/>
      <c r="M98" s="40"/>
      <c r="N98" s="46" t="s">
        <v>475</v>
      </c>
    </row>
    <row r="99" ht="22.5" customHeight="1">
      <c r="A99" s="40" t="s">
        <v>471</v>
      </c>
      <c r="B99" s="41" t="s">
        <v>472</v>
      </c>
      <c r="C99" s="40" t="s">
        <v>30</v>
      </c>
      <c r="D99" s="40" t="str">
        <f t="shared" si="1"/>
        <v>Equity</v>
      </c>
      <c r="E99" s="40" t="str">
        <f t="shared" si="2"/>
        <v>105L175V10</v>
      </c>
      <c r="F99" s="40" t="s">
        <v>32</v>
      </c>
      <c r="G99" s="40" t="s">
        <v>31</v>
      </c>
      <c r="H99" s="41" t="s">
        <v>451</v>
      </c>
      <c r="I99" s="44" t="s">
        <v>473</v>
      </c>
      <c r="J99" s="47" t="s">
        <v>474</v>
      </c>
      <c r="K99" s="40"/>
      <c r="L99" s="40"/>
      <c r="M99" s="40"/>
      <c r="N99" s="46" t="s">
        <v>475</v>
      </c>
    </row>
    <row r="100" ht="22.5" customHeight="1">
      <c r="A100" s="40" t="s">
        <v>471</v>
      </c>
      <c r="B100" s="41" t="s">
        <v>472</v>
      </c>
      <c r="C100" s="40" t="s">
        <v>27</v>
      </c>
      <c r="D100" s="40" t="str">
        <f t="shared" si="1"/>
        <v>Equity</v>
      </c>
      <c r="E100" s="40" t="str">
        <f t="shared" si="2"/>
        <v>105L175V10</v>
      </c>
      <c r="F100" s="40" t="s">
        <v>29</v>
      </c>
      <c r="G100" s="40" t="s">
        <v>28</v>
      </c>
      <c r="H100" s="41" t="s">
        <v>451</v>
      </c>
      <c r="I100" s="44" t="s">
        <v>473</v>
      </c>
      <c r="J100" s="47" t="s">
        <v>474</v>
      </c>
      <c r="K100" s="40"/>
      <c r="L100" s="40"/>
      <c r="M100" s="40"/>
      <c r="N100" s="46" t="s">
        <v>475</v>
      </c>
    </row>
    <row r="101" ht="22.5" customHeight="1">
      <c r="A101" s="40" t="s">
        <v>471</v>
      </c>
      <c r="B101" s="41" t="s">
        <v>472</v>
      </c>
      <c r="C101" s="40" t="s">
        <v>45</v>
      </c>
      <c r="D101" s="40" t="str">
        <f t="shared" si="1"/>
        <v>Balanced</v>
      </c>
      <c r="E101" s="40" t="str">
        <f t="shared" si="2"/>
        <v>105L175V10</v>
      </c>
      <c r="F101" s="40" t="s">
        <v>47</v>
      </c>
      <c r="G101" s="40" t="s">
        <v>46</v>
      </c>
      <c r="H101" s="41" t="s">
        <v>451</v>
      </c>
      <c r="I101" s="44" t="s">
        <v>473</v>
      </c>
      <c r="J101" s="47" t="s">
        <v>474</v>
      </c>
      <c r="K101" s="40"/>
      <c r="L101" s="40"/>
      <c r="M101" s="40"/>
      <c r="N101" s="46" t="s">
        <v>475</v>
      </c>
    </row>
    <row r="102" ht="22.5" customHeight="1">
      <c r="A102" s="40" t="s">
        <v>471</v>
      </c>
      <c r="B102" s="41" t="s">
        <v>472</v>
      </c>
      <c r="C102" s="40" t="s">
        <v>53</v>
      </c>
      <c r="D102" s="40" t="str">
        <f t="shared" si="1"/>
        <v>Debt</v>
      </c>
      <c r="E102" s="40" t="str">
        <f t="shared" si="2"/>
        <v>105L175V10</v>
      </c>
      <c r="F102" s="40" t="s">
        <v>55</v>
      </c>
      <c r="G102" s="40" t="s">
        <v>54</v>
      </c>
      <c r="H102" s="41" t="s">
        <v>451</v>
      </c>
      <c r="I102" s="44" t="s">
        <v>473</v>
      </c>
      <c r="J102" s="47" t="s">
        <v>474</v>
      </c>
      <c r="K102" s="40"/>
      <c r="L102" s="40"/>
      <c r="M102" s="40"/>
      <c r="N102" s="46" t="s">
        <v>475</v>
      </c>
    </row>
    <row r="103" ht="22.5" customHeight="1">
      <c r="A103" s="40" t="s">
        <v>471</v>
      </c>
      <c r="B103" s="41" t="s">
        <v>472</v>
      </c>
      <c r="C103" s="40" t="s">
        <v>58</v>
      </c>
      <c r="D103" s="40" t="str">
        <f t="shared" si="1"/>
        <v>Debt</v>
      </c>
      <c r="E103" s="40" t="str">
        <f t="shared" si="2"/>
        <v>105L175V10</v>
      </c>
      <c r="F103" s="40" t="s">
        <v>59</v>
      </c>
      <c r="G103" s="40" t="s">
        <v>54</v>
      </c>
      <c r="H103" s="41" t="s">
        <v>451</v>
      </c>
      <c r="I103" s="44" t="s">
        <v>473</v>
      </c>
      <c r="J103" s="47" t="s">
        <v>474</v>
      </c>
      <c r="K103" s="40"/>
      <c r="L103" s="40"/>
      <c r="M103" s="40"/>
      <c r="N103" s="46" t="s">
        <v>475</v>
      </c>
    </row>
    <row r="104" ht="22.5" customHeight="1">
      <c r="A104" s="40" t="s">
        <v>471</v>
      </c>
      <c r="B104" s="41" t="s">
        <v>472</v>
      </c>
      <c r="C104" s="40" t="s">
        <v>60</v>
      </c>
      <c r="D104" s="40" t="str">
        <f t="shared" si="1"/>
        <v>Debt</v>
      </c>
      <c r="E104" s="40" t="str">
        <f t="shared" si="2"/>
        <v>105L175V10</v>
      </c>
      <c r="F104" s="40" t="s">
        <v>476</v>
      </c>
      <c r="G104" s="40" t="s">
        <v>61</v>
      </c>
      <c r="H104" s="41" t="s">
        <v>451</v>
      </c>
      <c r="I104" s="44" t="s">
        <v>473</v>
      </c>
      <c r="J104" s="47" t="s">
        <v>474</v>
      </c>
      <c r="K104" s="40"/>
      <c r="L104" s="40"/>
      <c r="M104" s="40"/>
      <c r="N104" s="46" t="s">
        <v>475</v>
      </c>
    </row>
    <row r="105" ht="22.5" customHeight="1">
      <c r="A105" s="40" t="s">
        <v>471</v>
      </c>
      <c r="B105" s="41" t="s">
        <v>472</v>
      </c>
      <c r="C105" s="40" t="s">
        <v>72</v>
      </c>
      <c r="D105" s="40" t="str">
        <f t="shared" si="1"/>
        <v>Balanced</v>
      </c>
      <c r="E105" s="40" t="str">
        <f t="shared" si="2"/>
        <v>105L175V10</v>
      </c>
      <c r="F105" s="40" t="s">
        <v>74</v>
      </c>
      <c r="G105" s="40" t="s">
        <v>462</v>
      </c>
      <c r="H105" s="41" t="s">
        <v>451</v>
      </c>
      <c r="I105" s="44" t="s">
        <v>473</v>
      </c>
      <c r="J105" s="47" t="s">
        <v>474</v>
      </c>
      <c r="K105" s="40"/>
      <c r="L105" s="40"/>
      <c r="M105" s="40"/>
      <c r="N105" s="46" t="s">
        <v>475</v>
      </c>
    </row>
    <row r="106" ht="22.5" customHeight="1">
      <c r="A106" s="40" t="s">
        <v>471</v>
      </c>
      <c r="B106" s="41" t="s">
        <v>472</v>
      </c>
      <c r="C106" s="40" t="s">
        <v>66</v>
      </c>
      <c r="D106" s="40" t="str">
        <f t="shared" si="1"/>
        <v>Equity</v>
      </c>
      <c r="E106" s="40" t="str">
        <f t="shared" si="2"/>
        <v>105L175V10</v>
      </c>
      <c r="F106" s="40" t="s">
        <v>68</v>
      </c>
      <c r="G106" s="40" t="s">
        <v>219</v>
      </c>
      <c r="H106" s="41" t="s">
        <v>451</v>
      </c>
      <c r="I106" s="44" t="s">
        <v>473</v>
      </c>
      <c r="J106" s="47" t="s">
        <v>474</v>
      </c>
      <c r="K106" s="40"/>
      <c r="L106" s="40"/>
      <c r="M106" s="40"/>
      <c r="N106" s="46" t="s">
        <v>475</v>
      </c>
    </row>
    <row r="107" ht="22.5" customHeight="1">
      <c r="A107" s="40" t="s">
        <v>471</v>
      </c>
      <c r="B107" s="41" t="s">
        <v>472</v>
      </c>
      <c r="C107" s="40" t="s">
        <v>84</v>
      </c>
      <c r="D107" s="40" t="str">
        <f t="shared" si="1"/>
        <v>Equity</v>
      </c>
      <c r="E107" s="40" t="str">
        <f t="shared" si="2"/>
        <v>105L175V10</v>
      </c>
      <c r="F107" s="40" t="s">
        <v>86</v>
      </c>
      <c r="G107" s="40" t="s">
        <v>85</v>
      </c>
      <c r="H107" s="41" t="s">
        <v>451</v>
      </c>
      <c r="I107" s="44" t="s">
        <v>473</v>
      </c>
      <c r="J107" s="47" t="s">
        <v>474</v>
      </c>
      <c r="K107" s="40"/>
      <c r="L107" s="40"/>
      <c r="M107" s="40"/>
      <c r="N107" s="46" t="s">
        <v>475</v>
      </c>
    </row>
    <row r="108" ht="22.5" customHeight="1">
      <c r="A108" s="40" t="s">
        <v>471</v>
      </c>
      <c r="B108" s="41" t="s">
        <v>472</v>
      </c>
      <c r="C108" s="40" t="s">
        <v>87</v>
      </c>
      <c r="D108" s="40" t="str">
        <f t="shared" si="1"/>
        <v>Equity</v>
      </c>
      <c r="E108" s="40" t="str">
        <f t="shared" si="2"/>
        <v>105L175V10</v>
      </c>
      <c r="F108" s="40" t="s">
        <v>89</v>
      </c>
      <c r="G108" s="40" t="s">
        <v>477</v>
      </c>
      <c r="H108" s="41" t="s">
        <v>451</v>
      </c>
      <c r="I108" s="44" t="s">
        <v>473</v>
      </c>
      <c r="J108" s="47" t="s">
        <v>474</v>
      </c>
      <c r="K108" s="40"/>
      <c r="L108" s="40"/>
      <c r="M108" s="40"/>
      <c r="N108" s="46" t="s">
        <v>475</v>
      </c>
    </row>
    <row r="109" ht="22.5" customHeight="1">
      <c r="A109" s="40" t="s">
        <v>471</v>
      </c>
      <c r="B109" s="41" t="s">
        <v>472</v>
      </c>
      <c r="C109" s="40" t="s">
        <v>90</v>
      </c>
      <c r="D109" s="40" t="str">
        <f t="shared" si="1"/>
        <v>Equity</v>
      </c>
      <c r="E109" s="40" t="str">
        <f t="shared" si="2"/>
        <v>105L175V10</v>
      </c>
      <c r="F109" s="40" t="s">
        <v>92</v>
      </c>
      <c r="G109" s="40" t="s">
        <v>91</v>
      </c>
      <c r="H109" s="41" t="s">
        <v>451</v>
      </c>
      <c r="I109" s="44" t="s">
        <v>473</v>
      </c>
      <c r="J109" s="47" t="s">
        <v>474</v>
      </c>
      <c r="K109" s="40"/>
      <c r="L109" s="40"/>
      <c r="M109" s="40"/>
      <c r="N109" s="46" t="s">
        <v>475</v>
      </c>
    </row>
    <row r="110" ht="22.5" customHeight="1">
      <c r="A110" s="40" t="s">
        <v>471</v>
      </c>
      <c r="B110" s="41" t="s">
        <v>472</v>
      </c>
      <c r="C110" s="40" t="s">
        <v>93</v>
      </c>
      <c r="D110" s="40" t="str">
        <f t="shared" si="1"/>
        <v>Equity</v>
      </c>
      <c r="E110" s="40" t="str">
        <f t="shared" si="2"/>
        <v>105L175V10</v>
      </c>
      <c r="F110" s="40" t="s">
        <v>95</v>
      </c>
      <c r="G110" s="40" t="s">
        <v>465</v>
      </c>
      <c r="H110" s="41" t="s">
        <v>451</v>
      </c>
      <c r="I110" s="44" t="s">
        <v>473</v>
      </c>
      <c r="J110" s="47" t="s">
        <v>474</v>
      </c>
      <c r="K110" s="40"/>
      <c r="L110" s="40"/>
      <c r="M110" s="40"/>
      <c r="N110" s="46" t="s">
        <v>475</v>
      </c>
    </row>
    <row r="111" ht="22.5" customHeight="1">
      <c r="A111" s="40" t="s">
        <v>471</v>
      </c>
      <c r="B111" s="41" t="s">
        <v>472</v>
      </c>
      <c r="C111" s="40" t="s">
        <v>96</v>
      </c>
      <c r="D111" s="40" t="str">
        <f t="shared" si="1"/>
        <v>Equity</v>
      </c>
      <c r="E111" s="40" t="str">
        <f t="shared" si="2"/>
        <v>105L175V10</v>
      </c>
      <c r="F111" s="40" t="s">
        <v>98</v>
      </c>
      <c r="G111" s="40" t="s">
        <v>134</v>
      </c>
      <c r="H111" s="41" t="s">
        <v>451</v>
      </c>
      <c r="I111" s="44" t="s">
        <v>473</v>
      </c>
      <c r="J111" s="47" t="s">
        <v>474</v>
      </c>
      <c r="K111" s="40"/>
      <c r="L111" s="40"/>
      <c r="M111" s="40"/>
      <c r="N111" s="46" t="s">
        <v>475</v>
      </c>
    </row>
    <row r="112" ht="22.5" customHeight="1">
      <c r="A112" s="40" t="s">
        <v>471</v>
      </c>
      <c r="B112" s="41" t="s">
        <v>472</v>
      </c>
      <c r="C112" s="40" t="s">
        <v>99</v>
      </c>
      <c r="D112" s="40" t="str">
        <f t="shared" si="1"/>
        <v>Equity</v>
      </c>
      <c r="E112" s="40" t="str">
        <f t="shared" si="2"/>
        <v>105L175V10</v>
      </c>
      <c r="F112" s="40" t="s">
        <v>101</v>
      </c>
      <c r="G112" s="40" t="s">
        <v>100</v>
      </c>
      <c r="H112" s="41" t="s">
        <v>451</v>
      </c>
      <c r="I112" s="44" t="s">
        <v>473</v>
      </c>
      <c r="J112" s="47" t="s">
        <v>474</v>
      </c>
      <c r="K112" s="40"/>
      <c r="L112" s="40"/>
      <c r="M112" s="40"/>
      <c r="N112" s="46" t="s">
        <v>475</v>
      </c>
    </row>
    <row r="113" ht="22.5" customHeight="1">
      <c r="A113" s="40" t="s">
        <v>471</v>
      </c>
      <c r="B113" s="41" t="s">
        <v>472</v>
      </c>
      <c r="C113" s="40" t="s">
        <v>102</v>
      </c>
      <c r="D113" s="40" t="str">
        <f t="shared" si="1"/>
        <v>Equity</v>
      </c>
      <c r="E113" s="40" t="str">
        <f t="shared" si="2"/>
        <v>105L175V10</v>
      </c>
      <c r="F113" s="40" t="s">
        <v>104</v>
      </c>
      <c r="G113" s="40" t="s">
        <v>103</v>
      </c>
      <c r="H113" s="41" t="s">
        <v>451</v>
      </c>
      <c r="I113" s="44" t="s">
        <v>473</v>
      </c>
      <c r="J113" s="47" t="s">
        <v>474</v>
      </c>
      <c r="K113" s="40"/>
      <c r="L113" s="40"/>
      <c r="M113" s="40"/>
      <c r="N113" s="46" t="s">
        <v>475</v>
      </c>
    </row>
    <row r="114" ht="22.5" customHeight="1">
      <c r="A114" s="40" t="s">
        <v>471</v>
      </c>
      <c r="B114" s="41" t="s">
        <v>472</v>
      </c>
      <c r="C114" s="40" t="s">
        <v>105</v>
      </c>
      <c r="D114" s="40" t="str">
        <f t="shared" si="1"/>
        <v>Equity</v>
      </c>
      <c r="E114" s="40" t="str">
        <f t="shared" si="2"/>
        <v>105L175V10</v>
      </c>
      <c r="F114" s="40" t="s">
        <v>107</v>
      </c>
      <c r="G114" s="40" t="s">
        <v>106</v>
      </c>
      <c r="H114" s="41" t="s">
        <v>451</v>
      </c>
      <c r="I114" s="44" t="s">
        <v>473</v>
      </c>
      <c r="J114" s="47" t="s">
        <v>474</v>
      </c>
      <c r="K114" s="40"/>
      <c r="L114" s="40"/>
      <c r="M114" s="40"/>
      <c r="N114" s="46" t="s">
        <v>475</v>
      </c>
    </row>
    <row r="115" ht="22.5" customHeight="1">
      <c r="A115" s="40" t="s">
        <v>471</v>
      </c>
      <c r="B115" s="41" t="s">
        <v>472</v>
      </c>
      <c r="C115" s="40" t="s">
        <v>108</v>
      </c>
      <c r="D115" s="40" t="str">
        <f t="shared" si="1"/>
        <v>Equity</v>
      </c>
      <c r="E115" s="40" t="str">
        <f t="shared" si="2"/>
        <v>105L175V10</v>
      </c>
      <c r="F115" s="40" t="s">
        <v>110</v>
      </c>
      <c r="G115" s="40" t="s">
        <v>109</v>
      </c>
      <c r="H115" s="41" t="s">
        <v>451</v>
      </c>
      <c r="I115" s="44" t="s">
        <v>473</v>
      </c>
      <c r="J115" s="47" t="s">
        <v>474</v>
      </c>
      <c r="K115" s="40"/>
      <c r="L115" s="40"/>
      <c r="M115" s="40"/>
      <c r="N115" s="46" t="s">
        <v>475</v>
      </c>
    </row>
    <row r="116" ht="22.5" customHeight="1">
      <c r="A116" s="40" t="s">
        <v>471</v>
      </c>
      <c r="B116" s="41" t="s">
        <v>472</v>
      </c>
      <c r="C116" s="40" t="s">
        <v>111</v>
      </c>
      <c r="D116" s="40" t="str">
        <f t="shared" si="1"/>
        <v>Equity</v>
      </c>
      <c r="E116" s="40" t="str">
        <f t="shared" si="2"/>
        <v>105L175V10</v>
      </c>
      <c r="F116" s="40" t="s">
        <v>113</v>
      </c>
      <c r="G116" s="40" t="s">
        <v>112</v>
      </c>
      <c r="H116" s="41" t="s">
        <v>451</v>
      </c>
      <c r="I116" s="44" t="s">
        <v>473</v>
      </c>
      <c r="J116" s="47" t="s">
        <v>474</v>
      </c>
      <c r="K116" s="40"/>
      <c r="L116" s="40"/>
      <c r="M116" s="40"/>
      <c r="N116" s="46" t="s">
        <v>475</v>
      </c>
    </row>
    <row r="117" ht="22.5" customHeight="1">
      <c r="A117" s="40" t="s">
        <v>471</v>
      </c>
      <c r="B117" s="41" t="s">
        <v>472</v>
      </c>
      <c r="C117" s="40" t="s">
        <v>117</v>
      </c>
      <c r="D117" s="40" t="str">
        <f t="shared" si="1"/>
        <v>Equity</v>
      </c>
      <c r="E117" s="40" t="str">
        <f t="shared" si="2"/>
        <v>105L175V10</v>
      </c>
      <c r="F117" s="40" t="s">
        <v>119</v>
      </c>
      <c r="G117" s="40" t="s">
        <v>118</v>
      </c>
      <c r="H117" s="41" t="s">
        <v>451</v>
      </c>
      <c r="I117" s="44" t="s">
        <v>473</v>
      </c>
      <c r="J117" s="47" t="s">
        <v>474</v>
      </c>
      <c r="K117" s="40"/>
      <c r="L117" s="40"/>
      <c r="M117" s="40"/>
      <c r="N117" s="46" t="s">
        <v>475</v>
      </c>
    </row>
    <row r="118" ht="22.5" customHeight="1">
      <c r="A118" s="40" t="s">
        <v>471</v>
      </c>
      <c r="B118" s="41" t="s">
        <v>472</v>
      </c>
      <c r="C118" s="40" t="s">
        <v>114</v>
      </c>
      <c r="D118" s="40" t="str">
        <f t="shared" si="1"/>
        <v>Equity</v>
      </c>
      <c r="E118" s="40" t="str">
        <f t="shared" si="2"/>
        <v>105L175V10</v>
      </c>
      <c r="F118" s="40" t="s">
        <v>116</v>
      </c>
      <c r="G118" s="40" t="s">
        <v>115</v>
      </c>
      <c r="H118" s="41" t="s">
        <v>451</v>
      </c>
      <c r="I118" s="44" t="s">
        <v>473</v>
      </c>
      <c r="J118" s="47" t="s">
        <v>474</v>
      </c>
      <c r="K118" s="40"/>
      <c r="L118" s="40"/>
      <c r="M118" s="40"/>
      <c r="N118" s="46" t="s">
        <v>475</v>
      </c>
    </row>
    <row r="119" ht="22.5" customHeight="1">
      <c r="A119" s="40" t="s">
        <v>14</v>
      </c>
      <c r="B119" s="41" t="s">
        <v>478</v>
      </c>
      <c r="C119" s="41" t="s">
        <v>123</v>
      </c>
      <c r="D119" s="40" t="str">
        <f t="shared" si="1"/>
        <v>Unknown</v>
      </c>
      <c r="E119" s="40" t="str">
        <f t="shared" si="2"/>
        <v>105L194V03</v>
      </c>
      <c r="F119" s="40" t="s">
        <v>124</v>
      </c>
      <c r="G119" s="40" t="s">
        <v>31</v>
      </c>
      <c r="H119" s="41" t="s">
        <v>451</v>
      </c>
      <c r="I119" s="42" t="s">
        <v>479</v>
      </c>
      <c r="J119" s="43" t="s">
        <v>480</v>
      </c>
      <c r="K119" s="40"/>
      <c r="L119" s="40"/>
      <c r="M119" s="40"/>
      <c r="N119" s="41" t="s">
        <v>481</v>
      </c>
    </row>
    <row r="120" ht="22.5" customHeight="1">
      <c r="A120" s="40" t="s">
        <v>14</v>
      </c>
      <c r="B120" s="41" t="s">
        <v>478</v>
      </c>
      <c r="C120" s="40" t="s">
        <v>126</v>
      </c>
      <c r="D120" s="40" t="str">
        <f t="shared" si="1"/>
        <v>Equity</v>
      </c>
      <c r="E120" s="40" t="str">
        <f t="shared" si="2"/>
        <v>105L194V03</v>
      </c>
      <c r="F120" s="40" t="s">
        <v>127</v>
      </c>
      <c r="G120" s="40" t="s">
        <v>37</v>
      </c>
      <c r="H120" s="41" t="s">
        <v>451</v>
      </c>
      <c r="I120" s="42" t="s">
        <v>479</v>
      </c>
      <c r="J120" s="43" t="s">
        <v>480</v>
      </c>
      <c r="K120" s="40"/>
      <c r="L120" s="40"/>
      <c r="M120" s="40"/>
      <c r="N120" s="41" t="s">
        <v>481</v>
      </c>
    </row>
    <row r="121" ht="22.5" customHeight="1">
      <c r="A121" s="40" t="s">
        <v>14</v>
      </c>
      <c r="B121" s="41" t="s">
        <v>478</v>
      </c>
      <c r="C121" s="40" t="s">
        <v>128</v>
      </c>
      <c r="D121" s="40" t="str">
        <f t="shared" si="1"/>
        <v>Equity</v>
      </c>
      <c r="E121" s="40" t="str">
        <f t="shared" si="2"/>
        <v>105L194V03</v>
      </c>
      <c r="F121" s="40" t="s">
        <v>129</v>
      </c>
      <c r="G121" s="40" t="s">
        <v>34</v>
      </c>
      <c r="H121" s="41" t="s">
        <v>451</v>
      </c>
      <c r="I121" s="42" t="s">
        <v>479</v>
      </c>
      <c r="J121" s="43" t="s">
        <v>480</v>
      </c>
      <c r="K121" s="40"/>
      <c r="L121" s="40"/>
      <c r="M121" s="40"/>
      <c r="N121" s="41" t="s">
        <v>481</v>
      </c>
    </row>
    <row r="122" ht="22.5" customHeight="1">
      <c r="A122" s="40" t="s">
        <v>14</v>
      </c>
      <c r="B122" s="41" t="s">
        <v>478</v>
      </c>
      <c r="C122" s="40" t="s">
        <v>130</v>
      </c>
      <c r="D122" s="40" t="str">
        <f t="shared" si="1"/>
        <v>Equity</v>
      </c>
      <c r="E122" s="40" t="str">
        <f t="shared" si="2"/>
        <v>105L194V03</v>
      </c>
      <c r="F122" s="40" t="s">
        <v>132</v>
      </c>
      <c r="G122" s="40" t="s">
        <v>131</v>
      </c>
      <c r="H122" s="41" t="s">
        <v>451</v>
      </c>
      <c r="I122" s="42" t="s">
        <v>479</v>
      </c>
      <c r="J122" s="43" t="s">
        <v>480</v>
      </c>
      <c r="K122" s="40"/>
      <c r="L122" s="40"/>
      <c r="M122" s="40"/>
      <c r="N122" s="41" t="s">
        <v>481</v>
      </c>
    </row>
    <row r="123" ht="22.5" customHeight="1">
      <c r="A123" s="40" t="s">
        <v>14</v>
      </c>
      <c r="B123" s="41" t="s">
        <v>478</v>
      </c>
      <c r="C123" s="40" t="s">
        <v>133</v>
      </c>
      <c r="D123" s="40" t="str">
        <f t="shared" si="1"/>
        <v>Equity</v>
      </c>
      <c r="E123" s="40" t="str">
        <f t="shared" si="2"/>
        <v>105L194V03</v>
      </c>
      <c r="F123" s="40" t="s">
        <v>135</v>
      </c>
      <c r="G123" s="40" t="s">
        <v>134</v>
      </c>
      <c r="H123" s="41" t="s">
        <v>451</v>
      </c>
      <c r="I123" s="42" t="s">
        <v>479</v>
      </c>
      <c r="J123" s="43" t="s">
        <v>480</v>
      </c>
      <c r="K123" s="40"/>
      <c r="L123" s="40"/>
      <c r="M123" s="40"/>
      <c r="N123" s="41" t="s">
        <v>481</v>
      </c>
    </row>
    <row r="124" ht="22.5" customHeight="1">
      <c r="A124" s="40" t="s">
        <v>14</v>
      </c>
      <c r="B124" s="41" t="s">
        <v>478</v>
      </c>
      <c r="C124" s="40" t="s">
        <v>136</v>
      </c>
      <c r="D124" s="40" t="str">
        <f t="shared" si="1"/>
        <v>Balanced</v>
      </c>
      <c r="E124" s="40" t="str">
        <f t="shared" si="2"/>
        <v>105L194V03</v>
      </c>
      <c r="F124" s="40" t="s">
        <v>138</v>
      </c>
      <c r="G124" s="40" t="s">
        <v>137</v>
      </c>
      <c r="H124" s="41" t="s">
        <v>451</v>
      </c>
      <c r="I124" s="42" t="s">
        <v>479</v>
      </c>
      <c r="J124" s="43" t="s">
        <v>480</v>
      </c>
      <c r="K124" s="40"/>
      <c r="L124" s="40"/>
      <c r="M124" s="40"/>
      <c r="N124" s="41" t="s">
        <v>481</v>
      </c>
    </row>
    <row r="125" ht="22.5" customHeight="1">
      <c r="A125" s="40" t="s">
        <v>14</v>
      </c>
      <c r="B125" s="41" t="s">
        <v>478</v>
      </c>
      <c r="C125" s="40" t="s">
        <v>139</v>
      </c>
      <c r="D125" s="40" t="str">
        <f t="shared" si="1"/>
        <v>Balanced</v>
      </c>
      <c r="E125" s="40" t="str">
        <f t="shared" si="2"/>
        <v>105L194V03</v>
      </c>
      <c r="F125" s="40" t="s">
        <v>140</v>
      </c>
      <c r="G125" s="40" t="s">
        <v>46</v>
      </c>
      <c r="H125" s="41" t="s">
        <v>451</v>
      </c>
      <c r="I125" s="42" t="s">
        <v>479</v>
      </c>
      <c r="J125" s="43" t="s">
        <v>480</v>
      </c>
      <c r="K125" s="40"/>
      <c r="L125" s="40"/>
      <c r="M125" s="40"/>
      <c r="N125" s="41" t="s">
        <v>481</v>
      </c>
    </row>
    <row r="126" ht="22.5" customHeight="1">
      <c r="A126" s="40" t="s">
        <v>14</v>
      </c>
      <c r="B126" s="41" t="s">
        <v>478</v>
      </c>
      <c r="C126" s="40" t="s">
        <v>141</v>
      </c>
      <c r="D126" s="40" t="str">
        <f t="shared" si="1"/>
        <v>Debt</v>
      </c>
      <c r="E126" s="40" t="str">
        <f t="shared" si="2"/>
        <v>105L194V03</v>
      </c>
      <c r="F126" s="40" t="s">
        <v>143</v>
      </c>
      <c r="G126" s="40" t="s">
        <v>142</v>
      </c>
      <c r="H126" s="41" t="s">
        <v>451</v>
      </c>
      <c r="I126" s="42" t="s">
        <v>479</v>
      </c>
      <c r="J126" s="43" t="s">
        <v>480</v>
      </c>
      <c r="K126" s="40"/>
      <c r="L126" s="40"/>
      <c r="M126" s="40"/>
      <c r="N126" s="41" t="s">
        <v>481</v>
      </c>
    </row>
    <row r="127" ht="22.5" customHeight="1">
      <c r="A127" s="40" t="s">
        <v>14</v>
      </c>
      <c r="B127" s="41" t="s">
        <v>478</v>
      </c>
      <c r="C127" s="40" t="s">
        <v>144</v>
      </c>
      <c r="D127" s="40" t="str">
        <f t="shared" si="1"/>
        <v>Debt</v>
      </c>
      <c r="E127" s="40" t="str">
        <f t="shared" si="2"/>
        <v>105L194V03</v>
      </c>
      <c r="F127" s="40" t="s">
        <v>146</v>
      </c>
      <c r="G127" s="40" t="s">
        <v>145</v>
      </c>
      <c r="H127" s="41" t="s">
        <v>451</v>
      </c>
      <c r="I127" s="42" t="s">
        <v>479</v>
      </c>
      <c r="J127" s="43" t="s">
        <v>480</v>
      </c>
      <c r="K127" s="40"/>
      <c r="L127" s="40"/>
      <c r="M127" s="40"/>
      <c r="N127" s="41" t="s">
        <v>481</v>
      </c>
    </row>
    <row r="128" ht="22.5" customHeight="1">
      <c r="A128" s="40" t="s">
        <v>14</v>
      </c>
      <c r="B128" s="41" t="s">
        <v>482</v>
      </c>
      <c r="C128" s="41" t="s">
        <v>120</v>
      </c>
      <c r="D128" s="40" t="str">
        <f t="shared" si="1"/>
        <v>Debt</v>
      </c>
      <c r="E128" s="40" t="str">
        <f t="shared" si="2"/>
        <v>105L210V01</v>
      </c>
      <c r="F128" s="41" t="s">
        <v>148</v>
      </c>
      <c r="G128" s="41" t="s">
        <v>483</v>
      </c>
      <c r="H128" s="46" t="s">
        <v>484</v>
      </c>
      <c r="I128" s="44" t="s">
        <v>485</v>
      </c>
      <c r="J128" s="43" t="s">
        <v>486</v>
      </c>
      <c r="K128" s="40"/>
      <c r="L128" s="40"/>
      <c r="M128" s="40"/>
      <c r="N128" s="41"/>
    </row>
    <row r="129" ht="22.5" customHeight="1">
      <c r="A129" s="40" t="s">
        <v>14</v>
      </c>
      <c r="B129" s="41" t="s">
        <v>487</v>
      </c>
      <c r="C129" s="40" t="s">
        <v>15</v>
      </c>
      <c r="D129" s="40" t="str">
        <f t="shared" si="1"/>
        <v>Equity</v>
      </c>
      <c r="E129" s="40" t="str">
        <f t="shared" si="2"/>
        <v>105L192V04</v>
      </c>
      <c r="F129" s="40" t="s">
        <v>17</v>
      </c>
      <c r="G129" s="40" t="s">
        <v>16</v>
      </c>
      <c r="H129" s="46" t="s">
        <v>488</v>
      </c>
      <c r="I129" s="44" t="s">
        <v>489</v>
      </c>
      <c r="J129" s="43" t="s">
        <v>490</v>
      </c>
      <c r="K129" s="40"/>
      <c r="L129" s="40"/>
      <c r="M129" s="40"/>
      <c r="N129" s="46" t="s">
        <v>491</v>
      </c>
    </row>
    <row r="130" ht="22.5" customHeight="1">
      <c r="A130" s="40" t="s">
        <v>14</v>
      </c>
      <c r="B130" s="41" t="s">
        <v>487</v>
      </c>
      <c r="C130" s="40" t="s">
        <v>24</v>
      </c>
      <c r="D130" s="40" t="str">
        <f t="shared" si="1"/>
        <v>Equity</v>
      </c>
      <c r="E130" s="40" t="str">
        <f t="shared" si="2"/>
        <v>105L192V04</v>
      </c>
      <c r="F130" s="40" t="s">
        <v>26</v>
      </c>
      <c r="G130" s="40" t="s">
        <v>25</v>
      </c>
      <c r="H130" s="46" t="s">
        <v>488</v>
      </c>
      <c r="I130" s="44" t="s">
        <v>489</v>
      </c>
      <c r="J130" s="43" t="s">
        <v>490</v>
      </c>
      <c r="K130" s="40"/>
      <c r="L130" s="40"/>
      <c r="M130" s="40"/>
      <c r="N130" s="46" t="s">
        <v>491</v>
      </c>
    </row>
    <row r="131" ht="22.5" customHeight="1">
      <c r="A131" s="40" t="s">
        <v>14</v>
      </c>
      <c r="B131" s="41" t="s">
        <v>487</v>
      </c>
      <c r="C131" s="41" t="s">
        <v>455</v>
      </c>
      <c r="D131" s="40" t="str">
        <f t="shared" si="1"/>
        <v>Equity</v>
      </c>
      <c r="E131" s="40" t="str">
        <f t="shared" si="2"/>
        <v>105L192V04</v>
      </c>
      <c r="F131" s="40" t="s">
        <v>29</v>
      </c>
      <c r="G131" s="40" t="s">
        <v>28</v>
      </c>
      <c r="H131" s="46" t="s">
        <v>488</v>
      </c>
      <c r="I131" s="44" t="s">
        <v>489</v>
      </c>
      <c r="J131" s="43" t="s">
        <v>490</v>
      </c>
      <c r="K131" s="40"/>
      <c r="L131" s="40"/>
      <c r="M131" s="40"/>
      <c r="N131" s="46" t="s">
        <v>491</v>
      </c>
    </row>
    <row r="132" ht="22.5" customHeight="1">
      <c r="A132" s="40" t="s">
        <v>14</v>
      </c>
      <c r="B132" s="41" t="s">
        <v>487</v>
      </c>
      <c r="C132" s="40" t="s">
        <v>30</v>
      </c>
      <c r="D132" s="40" t="str">
        <f t="shared" si="1"/>
        <v>Equity</v>
      </c>
      <c r="E132" s="40" t="str">
        <f t="shared" si="2"/>
        <v>105L192V04</v>
      </c>
      <c r="F132" s="40" t="s">
        <v>32</v>
      </c>
      <c r="G132" s="40" t="s">
        <v>31</v>
      </c>
      <c r="H132" s="46" t="s">
        <v>488</v>
      </c>
      <c r="I132" s="44" t="s">
        <v>489</v>
      </c>
      <c r="J132" s="43" t="s">
        <v>490</v>
      </c>
      <c r="K132" s="40"/>
      <c r="L132" s="40"/>
      <c r="M132" s="40"/>
      <c r="N132" s="46" t="s">
        <v>491</v>
      </c>
    </row>
    <row r="133" ht="22.5" customHeight="1">
      <c r="A133" s="40" t="s">
        <v>14</v>
      </c>
      <c r="B133" s="41" t="s">
        <v>487</v>
      </c>
      <c r="C133" s="40" t="s">
        <v>33</v>
      </c>
      <c r="D133" s="40" t="str">
        <f t="shared" si="1"/>
        <v>Equity</v>
      </c>
      <c r="E133" s="40" t="str">
        <f t="shared" si="2"/>
        <v>105L192V04</v>
      </c>
      <c r="F133" s="40" t="s">
        <v>35</v>
      </c>
      <c r="G133" s="40" t="s">
        <v>34</v>
      </c>
      <c r="H133" s="46" t="s">
        <v>488</v>
      </c>
      <c r="I133" s="44" t="s">
        <v>489</v>
      </c>
      <c r="J133" s="43" t="s">
        <v>490</v>
      </c>
      <c r="K133" s="40"/>
      <c r="L133" s="40"/>
      <c r="M133" s="40"/>
      <c r="N133" s="46" t="s">
        <v>491</v>
      </c>
    </row>
    <row r="134" ht="22.5" customHeight="1">
      <c r="A134" s="40" t="s">
        <v>14</v>
      </c>
      <c r="B134" s="41" t="s">
        <v>487</v>
      </c>
      <c r="C134" s="40" t="s">
        <v>36</v>
      </c>
      <c r="D134" s="40" t="str">
        <f t="shared" si="1"/>
        <v>Equity</v>
      </c>
      <c r="E134" s="40" t="str">
        <f t="shared" si="2"/>
        <v>105L192V04</v>
      </c>
      <c r="F134" s="40" t="s">
        <v>38</v>
      </c>
      <c r="G134" s="40" t="s">
        <v>37</v>
      </c>
      <c r="H134" s="46" t="s">
        <v>488</v>
      </c>
      <c r="I134" s="44" t="s">
        <v>489</v>
      </c>
      <c r="J134" s="43" t="s">
        <v>490</v>
      </c>
      <c r="K134" s="40"/>
      <c r="L134" s="40"/>
      <c r="M134" s="40"/>
      <c r="N134" s="46" t="s">
        <v>491</v>
      </c>
    </row>
    <row r="135" ht="22.5" customHeight="1">
      <c r="A135" s="40" t="s">
        <v>14</v>
      </c>
      <c r="B135" s="41" t="s">
        <v>487</v>
      </c>
      <c r="C135" s="40" t="s">
        <v>39</v>
      </c>
      <c r="D135" s="40" t="str">
        <f t="shared" si="1"/>
        <v>Equity</v>
      </c>
      <c r="E135" s="40" t="str">
        <f t="shared" si="2"/>
        <v>105L192V04</v>
      </c>
      <c r="F135" s="40" t="s">
        <v>41</v>
      </c>
      <c r="G135" s="40" t="s">
        <v>40</v>
      </c>
      <c r="H135" s="46" t="s">
        <v>488</v>
      </c>
      <c r="I135" s="44" t="s">
        <v>489</v>
      </c>
      <c r="J135" s="43" t="s">
        <v>490</v>
      </c>
      <c r="K135" s="40"/>
      <c r="L135" s="40"/>
      <c r="M135" s="40"/>
      <c r="N135" s="46" t="s">
        <v>491</v>
      </c>
    </row>
    <row r="136" ht="22.5" customHeight="1">
      <c r="A136" s="40" t="s">
        <v>14</v>
      </c>
      <c r="B136" s="41" t="s">
        <v>487</v>
      </c>
      <c r="C136" s="40" t="s">
        <v>42</v>
      </c>
      <c r="D136" s="40" t="str">
        <f t="shared" si="1"/>
        <v>Equity</v>
      </c>
      <c r="E136" s="40" t="str">
        <f t="shared" si="2"/>
        <v>105L192V04</v>
      </c>
      <c r="F136" s="40" t="s">
        <v>44</v>
      </c>
      <c r="G136" s="40" t="s">
        <v>43</v>
      </c>
      <c r="H136" s="46" t="s">
        <v>488</v>
      </c>
      <c r="I136" s="44" t="s">
        <v>489</v>
      </c>
      <c r="J136" s="43" t="s">
        <v>490</v>
      </c>
      <c r="K136" s="40"/>
      <c r="L136" s="40"/>
      <c r="M136" s="40"/>
      <c r="N136" s="46" t="s">
        <v>491</v>
      </c>
    </row>
    <row r="137" ht="22.5" customHeight="1">
      <c r="A137" s="40" t="s">
        <v>14</v>
      </c>
      <c r="B137" s="41" t="s">
        <v>487</v>
      </c>
      <c r="C137" s="40" t="s">
        <v>45</v>
      </c>
      <c r="D137" s="40" t="str">
        <f t="shared" si="1"/>
        <v>Balanced</v>
      </c>
      <c r="E137" s="40" t="str">
        <f t="shared" si="2"/>
        <v>105L192V04</v>
      </c>
      <c r="F137" s="40" t="s">
        <v>47</v>
      </c>
      <c r="G137" s="40" t="s">
        <v>46</v>
      </c>
      <c r="H137" s="46" t="s">
        <v>488</v>
      </c>
      <c r="I137" s="44" t="s">
        <v>489</v>
      </c>
      <c r="J137" s="43" t="s">
        <v>490</v>
      </c>
      <c r="K137" s="40"/>
      <c r="L137" s="40"/>
      <c r="M137" s="40"/>
      <c r="N137" s="46" t="s">
        <v>491</v>
      </c>
    </row>
    <row r="138" ht="22.5" customHeight="1">
      <c r="A138" s="40" t="s">
        <v>14</v>
      </c>
      <c r="B138" s="41" t="s">
        <v>487</v>
      </c>
      <c r="C138" s="40" t="s">
        <v>50</v>
      </c>
      <c r="D138" s="40" t="str">
        <f t="shared" si="1"/>
        <v>Balanced</v>
      </c>
      <c r="E138" s="40" t="str">
        <f t="shared" si="2"/>
        <v>105L192V04</v>
      </c>
      <c r="F138" s="40" t="s">
        <v>52</v>
      </c>
      <c r="G138" s="40" t="s">
        <v>51</v>
      </c>
      <c r="H138" s="46" t="s">
        <v>488</v>
      </c>
      <c r="I138" s="44" t="s">
        <v>489</v>
      </c>
      <c r="J138" s="43" t="s">
        <v>490</v>
      </c>
      <c r="K138" s="40"/>
      <c r="L138" s="40"/>
      <c r="M138" s="40"/>
      <c r="N138" s="46" t="s">
        <v>491</v>
      </c>
    </row>
    <row r="139" ht="22.5" customHeight="1">
      <c r="A139" s="40" t="s">
        <v>14</v>
      </c>
      <c r="B139" s="41" t="s">
        <v>487</v>
      </c>
      <c r="C139" s="40" t="s">
        <v>53</v>
      </c>
      <c r="D139" s="40" t="str">
        <f t="shared" si="1"/>
        <v>Debt</v>
      </c>
      <c r="E139" s="40" t="str">
        <f t="shared" si="2"/>
        <v>105L192V04</v>
      </c>
      <c r="F139" s="40" t="s">
        <v>55</v>
      </c>
      <c r="G139" s="40" t="s">
        <v>54</v>
      </c>
      <c r="H139" s="46" t="s">
        <v>488</v>
      </c>
      <c r="I139" s="44" t="s">
        <v>489</v>
      </c>
      <c r="J139" s="43" t="s">
        <v>490</v>
      </c>
      <c r="K139" s="40"/>
      <c r="L139" s="40"/>
      <c r="M139" s="40"/>
      <c r="N139" s="46" t="s">
        <v>491</v>
      </c>
    </row>
    <row r="140" ht="22.5" customHeight="1">
      <c r="A140" s="40" t="s">
        <v>14</v>
      </c>
      <c r="B140" s="41" t="s">
        <v>487</v>
      </c>
      <c r="C140" s="40" t="s">
        <v>58</v>
      </c>
      <c r="D140" s="40" t="str">
        <f t="shared" si="1"/>
        <v>Debt</v>
      </c>
      <c r="E140" s="40" t="str">
        <f t="shared" si="2"/>
        <v>105L192V04</v>
      </c>
      <c r="F140" s="40" t="s">
        <v>59</v>
      </c>
      <c r="G140" s="40" t="s">
        <v>54</v>
      </c>
      <c r="H140" s="46" t="s">
        <v>488</v>
      </c>
      <c r="I140" s="44" t="s">
        <v>489</v>
      </c>
      <c r="J140" s="43" t="s">
        <v>490</v>
      </c>
      <c r="K140" s="40"/>
      <c r="L140" s="40"/>
      <c r="M140" s="40"/>
      <c r="N140" s="46" t="s">
        <v>491</v>
      </c>
    </row>
    <row r="141" ht="22.5" customHeight="1">
      <c r="A141" s="40" t="s">
        <v>14</v>
      </c>
      <c r="B141" s="41" t="s">
        <v>487</v>
      </c>
      <c r="C141" s="40" t="s">
        <v>60</v>
      </c>
      <c r="D141" s="40" t="str">
        <f t="shared" si="1"/>
        <v>Debt</v>
      </c>
      <c r="E141" s="40" t="str">
        <f t="shared" si="2"/>
        <v>105L192V04</v>
      </c>
      <c r="F141" s="40" t="s">
        <v>62</v>
      </c>
      <c r="G141" s="40" t="s">
        <v>61</v>
      </c>
      <c r="H141" s="46" t="s">
        <v>488</v>
      </c>
      <c r="I141" s="44" t="s">
        <v>489</v>
      </c>
      <c r="J141" s="43" t="s">
        <v>490</v>
      </c>
      <c r="K141" s="40"/>
      <c r="L141" s="40"/>
      <c r="M141" s="40"/>
      <c r="N141" s="46" t="s">
        <v>491</v>
      </c>
    </row>
    <row r="142" ht="22.5" customHeight="1">
      <c r="A142" s="40" t="s">
        <v>14</v>
      </c>
      <c r="B142" s="41" t="s">
        <v>487</v>
      </c>
      <c r="C142" s="40" t="s">
        <v>63</v>
      </c>
      <c r="D142" s="40" t="str">
        <f t="shared" si="1"/>
        <v>Balanced</v>
      </c>
      <c r="E142" s="40" t="str">
        <f t="shared" si="2"/>
        <v>105L192V04</v>
      </c>
      <c r="F142" s="40" t="s">
        <v>65</v>
      </c>
      <c r="G142" s="40" t="s">
        <v>64</v>
      </c>
      <c r="H142" s="46" t="s">
        <v>488</v>
      </c>
      <c r="I142" s="44" t="s">
        <v>489</v>
      </c>
      <c r="J142" s="43" t="s">
        <v>490</v>
      </c>
      <c r="K142" s="40"/>
      <c r="L142" s="40"/>
      <c r="M142" s="40"/>
      <c r="N142" s="46" t="s">
        <v>491</v>
      </c>
    </row>
    <row r="143" ht="22.5" customHeight="1">
      <c r="A143" s="40" t="s">
        <v>14</v>
      </c>
      <c r="B143" s="41" t="s">
        <v>487</v>
      </c>
      <c r="C143" s="40" t="s">
        <v>66</v>
      </c>
      <c r="D143" s="40" t="str">
        <f t="shared" si="1"/>
        <v>Equity</v>
      </c>
      <c r="E143" s="40" t="str">
        <f t="shared" si="2"/>
        <v>105L192V04</v>
      </c>
      <c r="F143" s="40" t="s">
        <v>68</v>
      </c>
      <c r="G143" s="40" t="s">
        <v>67</v>
      </c>
      <c r="H143" s="46" t="s">
        <v>488</v>
      </c>
      <c r="I143" s="44" t="s">
        <v>489</v>
      </c>
      <c r="J143" s="43" t="s">
        <v>490</v>
      </c>
      <c r="K143" s="40"/>
      <c r="L143" s="40"/>
      <c r="M143" s="40"/>
      <c r="N143" s="46" t="s">
        <v>491</v>
      </c>
    </row>
    <row r="144" ht="22.5" customHeight="1">
      <c r="A144" s="40" t="s">
        <v>14</v>
      </c>
      <c r="B144" s="41" t="s">
        <v>487</v>
      </c>
      <c r="C144" s="40" t="s">
        <v>69</v>
      </c>
      <c r="D144" s="40" t="str">
        <f t="shared" si="1"/>
        <v>Equity</v>
      </c>
      <c r="E144" s="40" t="str">
        <f t="shared" si="2"/>
        <v>105L192V04</v>
      </c>
      <c r="F144" s="40" t="s">
        <v>71</v>
      </c>
      <c r="G144" s="40" t="s">
        <v>70</v>
      </c>
      <c r="H144" s="46" t="s">
        <v>488</v>
      </c>
      <c r="I144" s="44" t="s">
        <v>489</v>
      </c>
      <c r="J144" s="43" t="s">
        <v>490</v>
      </c>
      <c r="K144" s="40"/>
      <c r="L144" s="40"/>
      <c r="M144" s="40"/>
      <c r="N144" s="46" t="s">
        <v>491</v>
      </c>
    </row>
    <row r="145" ht="22.5" customHeight="1">
      <c r="A145" s="40" t="s">
        <v>14</v>
      </c>
      <c r="B145" s="41" t="s">
        <v>487</v>
      </c>
      <c r="C145" s="40" t="s">
        <v>72</v>
      </c>
      <c r="D145" s="40" t="str">
        <f t="shared" si="1"/>
        <v>Balanced</v>
      </c>
      <c r="E145" s="40" t="str">
        <f t="shared" si="2"/>
        <v>105L192V04</v>
      </c>
      <c r="F145" s="40" t="s">
        <v>74</v>
      </c>
      <c r="G145" s="40" t="s">
        <v>73</v>
      </c>
      <c r="H145" s="46" t="s">
        <v>488</v>
      </c>
      <c r="I145" s="44" t="s">
        <v>489</v>
      </c>
      <c r="J145" s="43" t="s">
        <v>490</v>
      </c>
      <c r="K145" s="40"/>
      <c r="L145" s="40"/>
      <c r="M145" s="40"/>
      <c r="N145" s="46" t="s">
        <v>491</v>
      </c>
    </row>
    <row r="146" ht="22.5" customHeight="1">
      <c r="A146" s="40" t="s">
        <v>14</v>
      </c>
      <c r="B146" s="41" t="s">
        <v>487</v>
      </c>
      <c r="C146" s="40" t="s">
        <v>75</v>
      </c>
      <c r="D146" s="40" t="str">
        <f t="shared" si="1"/>
        <v>Debt</v>
      </c>
      <c r="E146" s="40" t="str">
        <f t="shared" si="2"/>
        <v>105L192V04</v>
      </c>
      <c r="F146" s="40" t="s">
        <v>77</v>
      </c>
      <c r="G146" s="40" t="s">
        <v>76</v>
      </c>
      <c r="H146" s="46" t="s">
        <v>488</v>
      </c>
      <c r="I146" s="44" t="s">
        <v>489</v>
      </c>
      <c r="J146" s="43" t="s">
        <v>490</v>
      </c>
      <c r="K146" s="40"/>
      <c r="L146" s="40"/>
      <c r="M146" s="40"/>
      <c r="N146" s="46" t="s">
        <v>491</v>
      </c>
    </row>
    <row r="147" ht="22.5" customHeight="1">
      <c r="A147" s="40" t="s">
        <v>14</v>
      </c>
      <c r="B147" s="41" t="s">
        <v>487</v>
      </c>
      <c r="C147" s="40" t="s">
        <v>78</v>
      </c>
      <c r="D147" s="40" t="str">
        <f t="shared" si="1"/>
        <v>Equity</v>
      </c>
      <c r="E147" s="40" t="str">
        <f t="shared" si="2"/>
        <v>105L192V04</v>
      </c>
      <c r="F147" s="40" t="s">
        <v>80</v>
      </c>
      <c r="G147" s="40" t="s">
        <v>79</v>
      </c>
      <c r="H147" s="46" t="s">
        <v>488</v>
      </c>
      <c r="I147" s="44" t="s">
        <v>489</v>
      </c>
      <c r="J147" s="43" t="s">
        <v>490</v>
      </c>
      <c r="K147" s="40"/>
      <c r="L147" s="40"/>
      <c r="M147" s="40"/>
      <c r="N147" s="46" t="s">
        <v>491</v>
      </c>
    </row>
    <row r="148" ht="22.5" customHeight="1">
      <c r="A148" s="40" t="s">
        <v>14</v>
      </c>
      <c r="B148" s="41" t="s">
        <v>487</v>
      </c>
      <c r="C148" s="40" t="s">
        <v>81</v>
      </c>
      <c r="D148" s="40" t="str">
        <f t="shared" si="1"/>
        <v>Equity</v>
      </c>
      <c r="E148" s="40" t="str">
        <f t="shared" si="2"/>
        <v>105L192V04</v>
      </c>
      <c r="F148" s="40" t="s">
        <v>83</v>
      </c>
      <c r="G148" s="40" t="s">
        <v>82</v>
      </c>
      <c r="H148" s="46" t="s">
        <v>488</v>
      </c>
      <c r="I148" s="44" t="s">
        <v>489</v>
      </c>
      <c r="J148" s="43" t="s">
        <v>490</v>
      </c>
      <c r="K148" s="40"/>
      <c r="L148" s="40"/>
      <c r="M148" s="40"/>
      <c r="N148" s="46" t="s">
        <v>491</v>
      </c>
    </row>
    <row r="149" ht="22.5" customHeight="1">
      <c r="A149" s="40" t="s">
        <v>14</v>
      </c>
      <c r="B149" s="41" t="s">
        <v>487</v>
      </c>
      <c r="C149" s="40" t="s">
        <v>84</v>
      </c>
      <c r="D149" s="40" t="str">
        <f t="shared" si="1"/>
        <v>Equity</v>
      </c>
      <c r="E149" s="40" t="str">
        <f t="shared" si="2"/>
        <v>105L192V04</v>
      </c>
      <c r="F149" s="40" t="s">
        <v>86</v>
      </c>
      <c r="G149" s="40" t="s">
        <v>85</v>
      </c>
      <c r="H149" s="46" t="s">
        <v>488</v>
      </c>
      <c r="I149" s="44" t="s">
        <v>489</v>
      </c>
      <c r="J149" s="43" t="s">
        <v>490</v>
      </c>
      <c r="K149" s="40"/>
      <c r="L149" s="40"/>
      <c r="M149" s="40"/>
      <c r="N149" s="46" t="s">
        <v>491</v>
      </c>
    </row>
    <row r="150" ht="22.5" customHeight="1">
      <c r="A150" s="40" t="s">
        <v>14</v>
      </c>
      <c r="B150" s="41" t="s">
        <v>487</v>
      </c>
      <c r="C150" s="40" t="s">
        <v>87</v>
      </c>
      <c r="D150" s="40" t="str">
        <f t="shared" si="1"/>
        <v>Equity</v>
      </c>
      <c r="E150" s="40" t="str">
        <f t="shared" si="2"/>
        <v>105L192V04</v>
      </c>
      <c r="F150" s="40" t="s">
        <v>89</v>
      </c>
      <c r="G150" s="40" t="s">
        <v>88</v>
      </c>
      <c r="H150" s="46" t="s">
        <v>488</v>
      </c>
      <c r="I150" s="44" t="s">
        <v>489</v>
      </c>
      <c r="J150" s="43" t="s">
        <v>490</v>
      </c>
      <c r="K150" s="40"/>
      <c r="L150" s="40"/>
      <c r="M150" s="40"/>
      <c r="N150" s="46" t="s">
        <v>491</v>
      </c>
    </row>
    <row r="151" ht="22.5" customHeight="1">
      <c r="A151" s="40" t="s">
        <v>14</v>
      </c>
      <c r="B151" s="41" t="s">
        <v>487</v>
      </c>
      <c r="C151" s="40" t="s">
        <v>90</v>
      </c>
      <c r="D151" s="40" t="str">
        <f t="shared" si="1"/>
        <v>Equity</v>
      </c>
      <c r="E151" s="40" t="str">
        <f t="shared" si="2"/>
        <v>105L192V04</v>
      </c>
      <c r="F151" s="40" t="s">
        <v>92</v>
      </c>
      <c r="G151" s="40" t="s">
        <v>91</v>
      </c>
      <c r="H151" s="46" t="s">
        <v>488</v>
      </c>
      <c r="I151" s="44" t="s">
        <v>489</v>
      </c>
      <c r="J151" s="43" t="s">
        <v>490</v>
      </c>
      <c r="K151" s="40"/>
      <c r="L151" s="40"/>
      <c r="M151" s="40"/>
      <c r="N151" s="46" t="s">
        <v>491</v>
      </c>
    </row>
    <row r="152" ht="22.5" customHeight="1">
      <c r="A152" s="40" t="s">
        <v>14</v>
      </c>
      <c r="B152" s="41" t="s">
        <v>487</v>
      </c>
      <c r="C152" s="40" t="s">
        <v>93</v>
      </c>
      <c r="D152" s="40" t="str">
        <f t="shared" si="1"/>
        <v>Equity</v>
      </c>
      <c r="E152" s="40" t="str">
        <f t="shared" si="2"/>
        <v>105L192V04</v>
      </c>
      <c r="F152" s="40" t="s">
        <v>95</v>
      </c>
      <c r="G152" s="40" t="s">
        <v>94</v>
      </c>
      <c r="H152" s="46" t="s">
        <v>488</v>
      </c>
      <c r="I152" s="44" t="s">
        <v>489</v>
      </c>
      <c r="J152" s="43" t="s">
        <v>490</v>
      </c>
      <c r="K152" s="40"/>
      <c r="L152" s="40"/>
      <c r="M152" s="40"/>
      <c r="N152" s="46" t="s">
        <v>491</v>
      </c>
    </row>
    <row r="153" ht="22.5" customHeight="1">
      <c r="A153" s="40" t="s">
        <v>14</v>
      </c>
      <c r="B153" s="41" t="s">
        <v>487</v>
      </c>
      <c r="C153" s="40" t="s">
        <v>96</v>
      </c>
      <c r="D153" s="40" t="str">
        <f t="shared" si="1"/>
        <v>Equity</v>
      </c>
      <c r="E153" s="40" t="str">
        <f t="shared" si="2"/>
        <v>105L192V04</v>
      </c>
      <c r="F153" s="40" t="s">
        <v>98</v>
      </c>
      <c r="G153" s="40" t="s">
        <v>97</v>
      </c>
      <c r="H153" s="46" t="s">
        <v>488</v>
      </c>
      <c r="I153" s="44" t="s">
        <v>489</v>
      </c>
      <c r="J153" s="43" t="s">
        <v>490</v>
      </c>
      <c r="K153" s="40"/>
      <c r="L153" s="40"/>
      <c r="M153" s="40"/>
      <c r="N153" s="46" t="s">
        <v>491</v>
      </c>
    </row>
    <row r="154" ht="22.5" customHeight="1">
      <c r="A154" s="40" t="s">
        <v>14</v>
      </c>
      <c r="B154" s="41" t="s">
        <v>487</v>
      </c>
      <c r="C154" s="40" t="s">
        <v>99</v>
      </c>
      <c r="D154" s="40" t="str">
        <f t="shared" si="1"/>
        <v>Equity</v>
      </c>
      <c r="E154" s="40" t="str">
        <f t="shared" si="2"/>
        <v>105L192V04</v>
      </c>
      <c r="F154" s="40" t="s">
        <v>101</v>
      </c>
      <c r="G154" s="40" t="s">
        <v>100</v>
      </c>
      <c r="H154" s="46" t="s">
        <v>488</v>
      </c>
      <c r="I154" s="44" t="s">
        <v>489</v>
      </c>
      <c r="J154" s="43" t="s">
        <v>490</v>
      </c>
      <c r="K154" s="40"/>
      <c r="L154" s="40"/>
      <c r="M154" s="40"/>
      <c r="N154" s="46" t="s">
        <v>491</v>
      </c>
    </row>
    <row r="155" ht="22.5" customHeight="1">
      <c r="A155" s="40" t="s">
        <v>14</v>
      </c>
      <c r="B155" s="41" t="s">
        <v>487</v>
      </c>
      <c r="C155" s="40" t="s">
        <v>102</v>
      </c>
      <c r="D155" s="40" t="str">
        <f t="shared" si="1"/>
        <v>Equity</v>
      </c>
      <c r="E155" s="40" t="str">
        <f t="shared" si="2"/>
        <v>105L192V04</v>
      </c>
      <c r="F155" s="40" t="s">
        <v>104</v>
      </c>
      <c r="G155" s="40" t="s">
        <v>103</v>
      </c>
      <c r="H155" s="46" t="s">
        <v>488</v>
      </c>
      <c r="I155" s="44" t="s">
        <v>489</v>
      </c>
      <c r="J155" s="43" t="s">
        <v>490</v>
      </c>
      <c r="K155" s="40"/>
      <c r="L155" s="40"/>
      <c r="M155" s="40"/>
      <c r="N155" s="46" t="s">
        <v>491</v>
      </c>
    </row>
    <row r="156" ht="22.5" customHeight="1">
      <c r="A156" s="40" t="s">
        <v>14</v>
      </c>
      <c r="B156" s="41" t="s">
        <v>487</v>
      </c>
      <c r="C156" s="40" t="s">
        <v>105</v>
      </c>
      <c r="D156" s="40" t="str">
        <f t="shared" si="1"/>
        <v>Equity</v>
      </c>
      <c r="E156" s="40" t="str">
        <f t="shared" si="2"/>
        <v>105L192V04</v>
      </c>
      <c r="F156" s="40" t="s">
        <v>107</v>
      </c>
      <c r="G156" s="40" t="s">
        <v>106</v>
      </c>
      <c r="H156" s="46" t="s">
        <v>488</v>
      </c>
      <c r="I156" s="44" t="s">
        <v>489</v>
      </c>
      <c r="J156" s="43" t="s">
        <v>490</v>
      </c>
      <c r="K156" s="40"/>
      <c r="L156" s="40"/>
      <c r="M156" s="40"/>
      <c r="N156" s="46" t="s">
        <v>491</v>
      </c>
    </row>
    <row r="157" ht="22.5" customHeight="1">
      <c r="A157" s="40" t="s">
        <v>14</v>
      </c>
      <c r="B157" s="41" t="s">
        <v>487</v>
      </c>
      <c r="C157" s="40" t="s">
        <v>108</v>
      </c>
      <c r="D157" s="40" t="str">
        <f t="shared" si="1"/>
        <v>Equity</v>
      </c>
      <c r="E157" s="40" t="str">
        <f t="shared" si="2"/>
        <v>105L192V04</v>
      </c>
      <c r="F157" s="40" t="s">
        <v>110</v>
      </c>
      <c r="G157" s="40" t="s">
        <v>109</v>
      </c>
      <c r="H157" s="46" t="s">
        <v>488</v>
      </c>
      <c r="I157" s="44" t="s">
        <v>489</v>
      </c>
      <c r="J157" s="43" t="s">
        <v>490</v>
      </c>
      <c r="K157" s="40"/>
      <c r="L157" s="40"/>
      <c r="M157" s="40"/>
      <c r="N157" s="46" t="s">
        <v>491</v>
      </c>
    </row>
    <row r="158" ht="22.5" customHeight="1">
      <c r="A158" s="40" t="s">
        <v>14</v>
      </c>
      <c r="B158" s="41" t="s">
        <v>487</v>
      </c>
      <c r="C158" s="40" t="s">
        <v>111</v>
      </c>
      <c r="D158" s="40" t="str">
        <f t="shared" si="1"/>
        <v>Equity</v>
      </c>
      <c r="E158" s="40" t="str">
        <f t="shared" si="2"/>
        <v>105L192V04</v>
      </c>
      <c r="F158" s="40" t="s">
        <v>113</v>
      </c>
      <c r="G158" s="40" t="s">
        <v>112</v>
      </c>
      <c r="H158" s="46" t="s">
        <v>488</v>
      </c>
      <c r="I158" s="44" t="s">
        <v>489</v>
      </c>
      <c r="J158" s="43" t="s">
        <v>490</v>
      </c>
      <c r="K158" s="40"/>
      <c r="L158" s="40"/>
      <c r="M158" s="40"/>
      <c r="N158" s="46" t="s">
        <v>491</v>
      </c>
    </row>
    <row r="159" ht="22.5" customHeight="1">
      <c r="A159" s="40" t="s">
        <v>14</v>
      </c>
      <c r="B159" s="41" t="s">
        <v>487</v>
      </c>
      <c r="C159" s="40" t="s">
        <v>114</v>
      </c>
      <c r="D159" s="40" t="str">
        <f t="shared" si="1"/>
        <v>Equity</v>
      </c>
      <c r="E159" s="40" t="str">
        <f t="shared" si="2"/>
        <v>105L192V04</v>
      </c>
      <c r="F159" s="40" t="s">
        <v>116</v>
      </c>
      <c r="G159" s="40" t="s">
        <v>115</v>
      </c>
      <c r="H159" s="46" t="s">
        <v>488</v>
      </c>
      <c r="I159" s="44" t="s">
        <v>489</v>
      </c>
      <c r="J159" s="43" t="s">
        <v>490</v>
      </c>
      <c r="K159" s="40"/>
      <c r="L159" s="40"/>
      <c r="M159" s="40"/>
      <c r="N159" s="46" t="s">
        <v>491</v>
      </c>
    </row>
    <row r="160" ht="22.5" customHeight="1">
      <c r="A160" s="40" t="s">
        <v>14</v>
      </c>
      <c r="B160" s="41" t="s">
        <v>487</v>
      </c>
      <c r="C160" s="40" t="s">
        <v>117</v>
      </c>
      <c r="D160" s="40" t="str">
        <f t="shared" si="1"/>
        <v>Equity</v>
      </c>
      <c r="E160" s="40" t="str">
        <f t="shared" si="2"/>
        <v>105L192V04</v>
      </c>
      <c r="F160" s="40" t="s">
        <v>119</v>
      </c>
      <c r="G160" s="40" t="s">
        <v>118</v>
      </c>
      <c r="H160" s="46" t="s">
        <v>488</v>
      </c>
      <c r="I160" s="44" t="s">
        <v>489</v>
      </c>
      <c r="J160" s="43" t="s">
        <v>490</v>
      </c>
      <c r="K160" s="40"/>
      <c r="L160" s="40"/>
      <c r="M160" s="40"/>
      <c r="N160" s="46" t="s">
        <v>491</v>
      </c>
    </row>
    <row r="161" ht="22.5" customHeight="1">
      <c r="A161" s="40" t="s">
        <v>14</v>
      </c>
      <c r="B161" s="41" t="s">
        <v>492</v>
      </c>
      <c r="C161" s="40" t="s">
        <v>15</v>
      </c>
      <c r="D161" s="40" t="s">
        <v>18</v>
      </c>
      <c r="E161" s="40" t="str">
        <f t="shared" si="2"/>
        <v>105L199V01</v>
      </c>
      <c r="F161" s="40" t="s">
        <v>17</v>
      </c>
      <c r="G161" s="40" t="s">
        <v>16</v>
      </c>
      <c r="H161" s="46" t="s">
        <v>488</v>
      </c>
      <c r="I161" s="44" t="s">
        <v>493</v>
      </c>
      <c r="J161" s="43" t="s">
        <v>494</v>
      </c>
      <c r="K161" s="40"/>
      <c r="L161" s="40"/>
      <c r="M161" s="40"/>
      <c r="N161" s="46" t="s">
        <v>495</v>
      </c>
    </row>
    <row r="162" ht="22.5" customHeight="1">
      <c r="A162" s="40" t="s">
        <v>14</v>
      </c>
      <c r="B162" s="41" t="s">
        <v>492</v>
      </c>
      <c r="C162" s="40" t="s">
        <v>24</v>
      </c>
      <c r="D162" s="40" t="s">
        <v>18</v>
      </c>
      <c r="E162" s="40" t="str">
        <f t="shared" si="2"/>
        <v>105L199V01</v>
      </c>
      <c r="F162" s="40" t="s">
        <v>26</v>
      </c>
      <c r="G162" s="40" t="s">
        <v>25</v>
      </c>
      <c r="H162" s="46" t="s">
        <v>488</v>
      </c>
      <c r="I162" s="44" t="s">
        <v>493</v>
      </c>
      <c r="J162" s="43" t="s">
        <v>494</v>
      </c>
      <c r="K162" s="40"/>
      <c r="L162" s="40"/>
      <c r="M162" s="40"/>
      <c r="N162" s="46" t="s">
        <v>495</v>
      </c>
    </row>
    <row r="163" ht="22.5" customHeight="1">
      <c r="A163" s="40" t="s">
        <v>14</v>
      </c>
      <c r="B163" s="41" t="s">
        <v>492</v>
      </c>
      <c r="C163" s="41" t="s">
        <v>455</v>
      </c>
      <c r="D163" s="40" t="s">
        <v>18</v>
      </c>
      <c r="E163" s="40" t="str">
        <f t="shared" si="2"/>
        <v>105L199V01</v>
      </c>
      <c r="F163" s="40" t="s">
        <v>29</v>
      </c>
      <c r="G163" s="40" t="s">
        <v>28</v>
      </c>
      <c r="H163" s="46" t="s">
        <v>488</v>
      </c>
      <c r="I163" s="44" t="s">
        <v>493</v>
      </c>
      <c r="J163" s="43" t="s">
        <v>494</v>
      </c>
      <c r="K163" s="40"/>
      <c r="L163" s="40"/>
      <c r="M163" s="40"/>
      <c r="N163" s="46" t="s">
        <v>495</v>
      </c>
    </row>
    <row r="164" ht="22.5" customHeight="1">
      <c r="A164" s="40" t="s">
        <v>14</v>
      </c>
      <c r="B164" s="41" t="s">
        <v>492</v>
      </c>
      <c r="C164" s="40" t="s">
        <v>30</v>
      </c>
      <c r="D164" s="40" t="s">
        <v>18</v>
      </c>
      <c r="E164" s="40" t="str">
        <f t="shared" si="2"/>
        <v>105L199V01</v>
      </c>
      <c r="F164" s="40" t="s">
        <v>32</v>
      </c>
      <c r="G164" s="40" t="s">
        <v>31</v>
      </c>
      <c r="H164" s="46" t="s">
        <v>488</v>
      </c>
      <c r="I164" s="44" t="s">
        <v>493</v>
      </c>
      <c r="J164" s="43" t="s">
        <v>494</v>
      </c>
      <c r="K164" s="40"/>
      <c r="L164" s="40"/>
      <c r="M164" s="40"/>
      <c r="N164" s="46" t="s">
        <v>495</v>
      </c>
    </row>
    <row r="165" ht="22.5" customHeight="1">
      <c r="A165" s="40" t="s">
        <v>14</v>
      </c>
      <c r="B165" s="41" t="s">
        <v>492</v>
      </c>
      <c r="C165" s="40" t="s">
        <v>33</v>
      </c>
      <c r="D165" s="40" t="s">
        <v>18</v>
      </c>
      <c r="E165" s="40" t="str">
        <f t="shared" si="2"/>
        <v>105L199V01</v>
      </c>
      <c r="F165" s="40" t="s">
        <v>35</v>
      </c>
      <c r="G165" s="40" t="s">
        <v>34</v>
      </c>
      <c r="H165" s="46" t="s">
        <v>488</v>
      </c>
      <c r="I165" s="44" t="s">
        <v>493</v>
      </c>
      <c r="J165" s="43" t="s">
        <v>494</v>
      </c>
      <c r="K165" s="40"/>
      <c r="L165" s="40"/>
      <c r="M165" s="40"/>
      <c r="N165" s="46" t="s">
        <v>495</v>
      </c>
    </row>
    <row r="166" ht="22.5" customHeight="1">
      <c r="A166" s="40" t="s">
        <v>14</v>
      </c>
      <c r="B166" s="41" t="s">
        <v>492</v>
      </c>
      <c r="C166" s="40" t="s">
        <v>36</v>
      </c>
      <c r="D166" s="40" t="s">
        <v>18</v>
      </c>
      <c r="E166" s="40" t="str">
        <f t="shared" si="2"/>
        <v>105L199V01</v>
      </c>
      <c r="F166" s="40" t="s">
        <v>38</v>
      </c>
      <c r="G166" s="40" t="s">
        <v>37</v>
      </c>
      <c r="H166" s="46" t="s">
        <v>488</v>
      </c>
      <c r="I166" s="44" t="s">
        <v>493</v>
      </c>
      <c r="J166" s="43" t="s">
        <v>494</v>
      </c>
      <c r="K166" s="40"/>
      <c r="L166" s="40"/>
      <c r="M166" s="40"/>
      <c r="N166" s="46" t="s">
        <v>495</v>
      </c>
    </row>
    <row r="167" ht="22.5" customHeight="1">
      <c r="A167" s="40" t="s">
        <v>14</v>
      </c>
      <c r="B167" s="41" t="s">
        <v>492</v>
      </c>
      <c r="C167" s="40" t="s">
        <v>39</v>
      </c>
      <c r="D167" s="40" t="s">
        <v>18</v>
      </c>
      <c r="E167" s="40" t="str">
        <f t="shared" si="2"/>
        <v>105L199V01</v>
      </c>
      <c r="F167" s="40" t="s">
        <v>41</v>
      </c>
      <c r="G167" s="40" t="s">
        <v>40</v>
      </c>
      <c r="H167" s="46" t="s">
        <v>488</v>
      </c>
      <c r="I167" s="44" t="s">
        <v>493</v>
      </c>
      <c r="J167" s="43" t="s">
        <v>494</v>
      </c>
      <c r="K167" s="40"/>
      <c r="L167" s="40"/>
      <c r="M167" s="40"/>
      <c r="N167" s="46" t="s">
        <v>495</v>
      </c>
    </row>
    <row r="168" ht="22.5" customHeight="1">
      <c r="A168" s="40" t="s">
        <v>14</v>
      </c>
      <c r="B168" s="41" t="s">
        <v>492</v>
      </c>
      <c r="C168" s="40" t="s">
        <v>42</v>
      </c>
      <c r="D168" s="40" t="s">
        <v>18</v>
      </c>
      <c r="E168" s="40" t="str">
        <f t="shared" si="2"/>
        <v>105L199V01</v>
      </c>
      <c r="F168" s="40" t="s">
        <v>44</v>
      </c>
      <c r="G168" s="40" t="s">
        <v>43</v>
      </c>
      <c r="H168" s="46" t="s">
        <v>488</v>
      </c>
      <c r="I168" s="44" t="s">
        <v>493</v>
      </c>
      <c r="J168" s="43" t="s">
        <v>494</v>
      </c>
      <c r="K168" s="40"/>
      <c r="L168" s="40"/>
      <c r="M168" s="40"/>
      <c r="N168" s="46" t="s">
        <v>495</v>
      </c>
    </row>
    <row r="169" ht="22.5" customHeight="1">
      <c r="A169" s="40" t="s">
        <v>14</v>
      </c>
      <c r="B169" s="41" t="s">
        <v>492</v>
      </c>
      <c r="C169" s="40" t="s">
        <v>45</v>
      </c>
      <c r="D169" s="40" t="s">
        <v>48</v>
      </c>
      <c r="E169" s="40" t="str">
        <f t="shared" si="2"/>
        <v>105L199V01</v>
      </c>
      <c r="F169" s="40" t="s">
        <v>47</v>
      </c>
      <c r="G169" s="40" t="s">
        <v>46</v>
      </c>
      <c r="H169" s="46" t="s">
        <v>488</v>
      </c>
      <c r="I169" s="44" t="s">
        <v>493</v>
      </c>
      <c r="J169" s="43" t="s">
        <v>494</v>
      </c>
      <c r="K169" s="40"/>
      <c r="L169" s="40"/>
      <c r="M169" s="40"/>
      <c r="N169" s="46" t="s">
        <v>495</v>
      </c>
    </row>
    <row r="170" ht="22.5" customHeight="1">
      <c r="A170" s="40" t="s">
        <v>14</v>
      </c>
      <c r="B170" s="41" t="s">
        <v>492</v>
      </c>
      <c r="C170" s="40" t="s">
        <v>50</v>
      </c>
      <c r="D170" s="40" t="s">
        <v>48</v>
      </c>
      <c r="E170" s="40" t="str">
        <f t="shared" si="2"/>
        <v>105L199V01</v>
      </c>
      <c r="F170" s="40" t="s">
        <v>52</v>
      </c>
      <c r="G170" s="40" t="s">
        <v>51</v>
      </c>
      <c r="H170" s="46" t="s">
        <v>488</v>
      </c>
      <c r="I170" s="44" t="s">
        <v>493</v>
      </c>
      <c r="J170" s="43" t="s">
        <v>494</v>
      </c>
      <c r="K170" s="40"/>
      <c r="L170" s="40"/>
      <c r="M170" s="40"/>
      <c r="N170" s="46" t="s">
        <v>495</v>
      </c>
    </row>
    <row r="171" ht="22.5" customHeight="1">
      <c r="A171" s="40" t="s">
        <v>14</v>
      </c>
      <c r="B171" s="41" t="s">
        <v>492</v>
      </c>
      <c r="C171" s="40" t="s">
        <v>53</v>
      </c>
      <c r="D171" s="40" t="s">
        <v>56</v>
      </c>
      <c r="E171" s="40" t="str">
        <f t="shared" si="2"/>
        <v>105L199V01</v>
      </c>
      <c r="F171" s="40" t="s">
        <v>55</v>
      </c>
      <c r="G171" s="40" t="s">
        <v>54</v>
      </c>
      <c r="H171" s="46" t="s">
        <v>488</v>
      </c>
      <c r="I171" s="44" t="s">
        <v>493</v>
      </c>
      <c r="J171" s="43" t="s">
        <v>494</v>
      </c>
      <c r="K171" s="40"/>
      <c r="L171" s="40"/>
      <c r="M171" s="40"/>
      <c r="N171" s="46" t="s">
        <v>495</v>
      </c>
    </row>
    <row r="172" ht="22.5" customHeight="1">
      <c r="A172" s="40" t="s">
        <v>14</v>
      </c>
      <c r="B172" s="41" t="s">
        <v>492</v>
      </c>
      <c r="C172" s="40" t="s">
        <v>58</v>
      </c>
      <c r="D172" s="40" t="s">
        <v>56</v>
      </c>
      <c r="E172" s="40" t="str">
        <f t="shared" si="2"/>
        <v>105L199V01</v>
      </c>
      <c r="F172" s="40" t="s">
        <v>59</v>
      </c>
      <c r="G172" s="40" t="s">
        <v>54</v>
      </c>
      <c r="H172" s="46" t="s">
        <v>488</v>
      </c>
      <c r="I172" s="44" t="s">
        <v>493</v>
      </c>
      <c r="J172" s="43" t="s">
        <v>494</v>
      </c>
      <c r="K172" s="40"/>
      <c r="L172" s="40"/>
      <c r="M172" s="40"/>
      <c r="N172" s="46" t="s">
        <v>495</v>
      </c>
    </row>
    <row r="173" ht="22.5" customHeight="1">
      <c r="A173" s="40" t="s">
        <v>14</v>
      </c>
      <c r="B173" s="41" t="s">
        <v>492</v>
      </c>
      <c r="C173" s="40" t="s">
        <v>60</v>
      </c>
      <c r="D173" s="40" t="s">
        <v>56</v>
      </c>
      <c r="E173" s="40" t="str">
        <f t="shared" si="2"/>
        <v>105L199V01</v>
      </c>
      <c r="F173" s="40" t="s">
        <v>62</v>
      </c>
      <c r="G173" s="40" t="s">
        <v>61</v>
      </c>
      <c r="H173" s="46" t="s">
        <v>488</v>
      </c>
      <c r="I173" s="44" t="s">
        <v>493</v>
      </c>
      <c r="J173" s="43" t="s">
        <v>494</v>
      </c>
      <c r="K173" s="40"/>
      <c r="L173" s="40"/>
      <c r="M173" s="40"/>
      <c r="N173" s="46" t="s">
        <v>495</v>
      </c>
    </row>
    <row r="174" ht="22.5" customHeight="1">
      <c r="A174" s="40" t="s">
        <v>14</v>
      </c>
      <c r="B174" s="41" t="s">
        <v>492</v>
      </c>
      <c r="C174" s="40" t="s">
        <v>63</v>
      </c>
      <c r="D174" s="40" t="s">
        <v>48</v>
      </c>
      <c r="E174" s="40" t="str">
        <f t="shared" si="2"/>
        <v>105L199V01</v>
      </c>
      <c r="F174" s="40" t="s">
        <v>65</v>
      </c>
      <c r="G174" s="40" t="s">
        <v>64</v>
      </c>
      <c r="H174" s="46" t="s">
        <v>488</v>
      </c>
      <c r="I174" s="44" t="s">
        <v>493</v>
      </c>
      <c r="J174" s="43" t="s">
        <v>494</v>
      </c>
      <c r="K174" s="40"/>
      <c r="L174" s="40"/>
      <c r="M174" s="40"/>
      <c r="N174" s="46" t="s">
        <v>495</v>
      </c>
    </row>
    <row r="175" ht="22.5" customHeight="1">
      <c r="A175" s="40" t="s">
        <v>14</v>
      </c>
      <c r="B175" s="41" t="s">
        <v>492</v>
      </c>
      <c r="C175" s="40" t="s">
        <v>66</v>
      </c>
      <c r="D175" s="40" t="s">
        <v>18</v>
      </c>
      <c r="E175" s="40" t="str">
        <f t="shared" si="2"/>
        <v>105L199V01</v>
      </c>
      <c r="F175" s="40" t="s">
        <v>68</v>
      </c>
      <c r="G175" s="40" t="s">
        <v>67</v>
      </c>
      <c r="H175" s="46" t="s">
        <v>488</v>
      </c>
      <c r="I175" s="44" t="s">
        <v>493</v>
      </c>
      <c r="J175" s="43" t="s">
        <v>494</v>
      </c>
      <c r="K175" s="40"/>
      <c r="L175" s="40"/>
      <c r="M175" s="40"/>
      <c r="N175" s="46" t="s">
        <v>495</v>
      </c>
    </row>
    <row r="176" ht="22.5" customHeight="1">
      <c r="A176" s="40" t="s">
        <v>14</v>
      </c>
      <c r="B176" s="41" t="s">
        <v>492</v>
      </c>
      <c r="C176" s="40" t="s">
        <v>69</v>
      </c>
      <c r="D176" s="40" t="s">
        <v>18</v>
      </c>
      <c r="E176" s="40" t="str">
        <f t="shared" si="2"/>
        <v>105L199V01</v>
      </c>
      <c r="F176" s="40" t="s">
        <v>71</v>
      </c>
      <c r="G176" s="40" t="s">
        <v>70</v>
      </c>
      <c r="H176" s="46" t="s">
        <v>488</v>
      </c>
      <c r="I176" s="44" t="s">
        <v>493</v>
      </c>
      <c r="J176" s="43" t="s">
        <v>494</v>
      </c>
      <c r="K176" s="40"/>
      <c r="L176" s="40"/>
      <c r="M176" s="40"/>
      <c r="N176" s="46" t="s">
        <v>495</v>
      </c>
    </row>
    <row r="177" ht="22.5" customHeight="1">
      <c r="A177" s="40" t="s">
        <v>14</v>
      </c>
      <c r="B177" s="41" t="s">
        <v>492</v>
      </c>
      <c r="C177" s="40" t="s">
        <v>72</v>
      </c>
      <c r="D177" s="40" t="s">
        <v>48</v>
      </c>
      <c r="E177" s="40" t="str">
        <f t="shared" si="2"/>
        <v>105L199V01</v>
      </c>
      <c r="F177" s="40" t="s">
        <v>74</v>
      </c>
      <c r="G177" s="40" t="s">
        <v>73</v>
      </c>
      <c r="H177" s="46" t="s">
        <v>488</v>
      </c>
      <c r="I177" s="44" t="s">
        <v>493</v>
      </c>
      <c r="J177" s="43" t="s">
        <v>494</v>
      </c>
      <c r="K177" s="40"/>
      <c r="L177" s="40"/>
      <c r="M177" s="40"/>
      <c r="N177" s="46" t="s">
        <v>495</v>
      </c>
    </row>
    <row r="178" ht="22.5" customHeight="1">
      <c r="A178" s="40" t="s">
        <v>14</v>
      </c>
      <c r="B178" s="41" t="s">
        <v>492</v>
      </c>
      <c r="C178" s="40" t="s">
        <v>75</v>
      </c>
      <c r="D178" s="40" t="s">
        <v>56</v>
      </c>
      <c r="E178" s="40" t="str">
        <f t="shared" si="2"/>
        <v>105L199V01</v>
      </c>
      <c r="F178" s="40" t="s">
        <v>77</v>
      </c>
      <c r="G178" s="40" t="s">
        <v>76</v>
      </c>
      <c r="H178" s="46" t="s">
        <v>488</v>
      </c>
      <c r="I178" s="44" t="s">
        <v>493</v>
      </c>
      <c r="J178" s="43" t="s">
        <v>494</v>
      </c>
      <c r="K178" s="40"/>
      <c r="L178" s="40"/>
      <c r="M178" s="40"/>
      <c r="N178" s="46" t="s">
        <v>495</v>
      </c>
    </row>
    <row r="179" ht="22.5" customHeight="1">
      <c r="A179" s="40" t="s">
        <v>14</v>
      </c>
      <c r="B179" s="41" t="s">
        <v>492</v>
      </c>
      <c r="C179" s="40" t="s">
        <v>78</v>
      </c>
      <c r="D179" s="40" t="s">
        <v>18</v>
      </c>
      <c r="E179" s="40" t="str">
        <f t="shared" si="2"/>
        <v>105L199V01</v>
      </c>
      <c r="F179" s="40" t="s">
        <v>80</v>
      </c>
      <c r="G179" s="40" t="s">
        <v>79</v>
      </c>
      <c r="H179" s="46" t="s">
        <v>488</v>
      </c>
      <c r="I179" s="44" t="s">
        <v>493</v>
      </c>
      <c r="J179" s="43" t="s">
        <v>494</v>
      </c>
      <c r="K179" s="40"/>
      <c r="L179" s="40"/>
      <c r="M179" s="40"/>
      <c r="N179" s="46" t="s">
        <v>495</v>
      </c>
    </row>
    <row r="180" ht="22.5" customHeight="1">
      <c r="A180" s="40" t="s">
        <v>14</v>
      </c>
      <c r="B180" s="41" t="s">
        <v>492</v>
      </c>
      <c r="C180" s="40" t="s">
        <v>81</v>
      </c>
      <c r="D180" s="40" t="s">
        <v>18</v>
      </c>
      <c r="E180" s="40" t="str">
        <f t="shared" si="2"/>
        <v>105L199V01</v>
      </c>
      <c r="F180" s="40" t="s">
        <v>83</v>
      </c>
      <c r="G180" s="40" t="s">
        <v>82</v>
      </c>
      <c r="H180" s="46" t="s">
        <v>488</v>
      </c>
      <c r="I180" s="44" t="s">
        <v>493</v>
      </c>
      <c r="J180" s="43" t="s">
        <v>494</v>
      </c>
      <c r="K180" s="40"/>
      <c r="L180" s="40"/>
      <c r="M180" s="40"/>
      <c r="N180" s="46" t="s">
        <v>495</v>
      </c>
    </row>
    <row r="181" ht="22.5" customHeight="1">
      <c r="A181" s="40" t="s">
        <v>14</v>
      </c>
      <c r="B181" s="41" t="s">
        <v>492</v>
      </c>
      <c r="C181" s="40" t="s">
        <v>84</v>
      </c>
      <c r="D181" s="40" t="s">
        <v>18</v>
      </c>
      <c r="E181" s="40" t="str">
        <f t="shared" si="2"/>
        <v>105L199V01</v>
      </c>
      <c r="F181" s="40" t="s">
        <v>86</v>
      </c>
      <c r="G181" s="40" t="s">
        <v>85</v>
      </c>
      <c r="H181" s="46" t="s">
        <v>488</v>
      </c>
      <c r="I181" s="44" t="s">
        <v>493</v>
      </c>
      <c r="J181" s="43" t="s">
        <v>494</v>
      </c>
      <c r="K181" s="40"/>
      <c r="L181" s="40"/>
      <c r="M181" s="40"/>
      <c r="N181" s="46" t="s">
        <v>495</v>
      </c>
    </row>
    <row r="182" ht="22.5" customHeight="1">
      <c r="A182" s="40" t="s">
        <v>14</v>
      </c>
      <c r="B182" s="41" t="s">
        <v>492</v>
      </c>
      <c r="C182" s="40" t="s">
        <v>87</v>
      </c>
      <c r="D182" s="40" t="s">
        <v>18</v>
      </c>
      <c r="E182" s="40" t="str">
        <f t="shared" si="2"/>
        <v>105L199V01</v>
      </c>
      <c r="F182" s="40" t="s">
        <v>89</v>
      </c>
      <c r="G182" s="40" t="s">
        <v>88</v>
      </c>
      <c r="H182" s="46" t="s">
        <v>488</v>
      </c>
      <c r="I182" s="44" t="s">
        <v>493</v>
      </c>
      <c r="J182" s="43" t="s">
        <v>494</v>
      </c>
      <c r="K182" s="40"/>
      <c r="L182" s="40"/>
      <c r="M182" s="40"/>
      <c r="N182" s="46" t="s">
        <v>495</v>
      </c>
    </row>
    <row r="183" ht="22.5" customHeight="1">
      <c r="A183" s="40" t="s">
        <v>14</v>
      </c>
      <c r="B183" s="41" t="s">
        <v>492</v>
      </c>
      <c r="C183" s="40" t="s">
        <v>90</v>
      </c>
      <c r="D183" s="40" t="s">
        <v>18</v>
      </c>
      <c r="E183" s="40" t="str">
        <f t="shared" si="2"/>
        <v>105L199V01</v>
      </c>
      <c r="F183" s="40" t="s">
        <v>92</v>
      </c>
      <c r="G183" s="40" t="s">
        <v>91</v>
      </c>
      <c r="H183" s="46" t="s">
        <v>488</v>
      </c>
      <c r="I183" s="44" t="s">
        <v>493</v>
      </c>
      <c r="J183" s="43" t="s">
        <v>494</v>
      </c>
      <c r="K183" s="40"/>
      <c r="L183" s="40"/>
      <c r="M183" s="40"/>
      <c r="N183" s="46" t="s">
        <v>495</v>
      </c>
    </row>
    <row r="184" ht="22.5" customHeight="1">
      <c r="A184" s="40" t="s">
        <v>14</v>
      </c>
      <c r="B184" s="41" t="s">
        <v>492</v>
      </c>
      <c r="C184" s="40" t="s">
        <v>93</v>
      </c>
      <c r="D184" s="40" t="s">
        <v>18</v>
      </c>
      <c r="E184" s="40" t="str">
        <f t="shared" si="2"/>
        <v>105L199V01</v>
      </c>
      <c r="F184" s="40" t="s">
        <v>95</v>
      </c>
      <c r="G184" s="40" t="s">
        <v>94</v>
      </c>
      <c r="H184" s="46" t="s">
        <v>488</v>
      </c>
      <c r="I184" s="44" t="s">
        <v>493</v>
      </c>
      <c r="J184" s="43" t="s">
        <v>494</v>
      </c>
      <c r="K184" s="40"/>
      <c r="L184" s="40"/>
      <c r="M184" s="40"/>
      <c r="N184" s="46" t="s">
        <v>495</v>
      </c>
    </row>
    <row r="185" ht="22.5" customHeight="1">
      <c r="A185" s="40" t="s">
        <v>14</v>
      </c>
      <c r="B185" s="41" t="s">
        <v>492</v>
      </c>
      <c r="C185" s="40" t="s">
        <v>96</v>
      </c>
      <c r="D185" s="40" t="s">
        <v>18</v>
      </c>
      <c r="E185" s="40" t="str">
        <f t="shared" si="2"/>
        <v>105L199V01</v>
      </c>
      <c r="F185" s="40" t="s">
        <v>98</v>
      </c>
      <c r="G185" s="40" t="s">
        <v>97</v>
      </c>
      <c r="H185" s="46" t="s">
        <v>488</v>
      </c>
      <c r="I185" s="44" t="s">
        <v>493</v>
      </c>
      <c r="J185" s="43" t="s">
        <v>494</v>
      </c>
      <c r="K185" s="40"/>
      <c r="L185" s="40"/>
      <c r="M185" s="40"/>
      <c r="N185" s="46" t="s">
        <v>495</v>
      </c>
    </row>
    <row r="186" ht="22.5" customHeight="1">
      <c r="A186" s="40" t="s">
        <v>14</v>
      </c>
      <c r="B186" s="41" t="s">
        <v>492</v>
      </c>
      <c r="C186" s="40" t="s">
        <v>99</v>
      </c>
      <c r="D186" s="40" t="s">
        <v>18</v>
      </c>
      <c r="E186" s="40" t="str">
        <f t="shared" si="2"/>
        <v>105L199V01</v>
      </c>
      <c r="F186" s="40" t="s">
        <v>101</v>
      </c>
      <c r="G186" s="40" t="s">
        <v>100</v>
      </c>
      <c r="H186" s="46" t="s">
        <v>488</v>
      </c>
      <c r="I186" s="44" t="s">
        <v>493</v>
      </c>
      <c r="J186" s="43" t="s">
        <v>494</v>
      </c>
      <c r="K186" s="40"/>
      <c r="L186" s="40"/>
      <c r="M186" s="40"/>
      <c r="N186" s="46" t="s">
        <v>495</v>
      </c>
    </row>
    <row r="187" ht="22.5" customHeight="1">
      <c r="A187" s="40" t="s">
        <v>14</v>
      </c>
      <c r="B187" s="41" t="s">
        <v>492</v>
      </c>
      <c r="C187" s="40" t="s">
        <v>102</v>
      </c>
      <c r="D187" s="40" t="s">
        <v>18</v>
      </c>
      <c r="E187" s="40" t="str">
        <f t="shared" si="2"/>
        <v>105L199V01</v>
      </c>
      <c r="F187" s="40" t="s">
        <v>104</v>
      </c>
      <c r="G187" s="40" t="s">
        <v>103</v>
      </c>
      <c r="H187" s="46" t="s">
        <v>488</v>
      </c>
      <c r="I187" s="44" t="s">
        <v>493</v>
      </c>
      <c r="J187" s="43" t="s">
        <v>494</v>
      </c>
      <c r="K187" s="40"/>
      <c r="L187" s="40"/>
      <c r="M187" s="40"/>
      <c r="N187" s="46" t="s">
        <v>495</v>
      </c>
    </row>
    <row r="188" ht="22.5" customHeight="1">
      <c r="A188" s="40" t="s">
        <v>14</v>
      </c>
      <c r="B188" s="41" t="s">
        <v>492</v>
      </c>
      <c r="C188" s="40" t="s">
        <v>105</v>
      </c>
      <c r="D188" s="40" t="s">
        <v>18</v>
      </c>
      <c r="E188" s="40" t="str">
        <f t="shared" si="2"/>
        <v>105L199V01</v>
      </c>
      <c r="F188" s="40" t="s">
        <v>107</v>
      </c>
      <c r="G188" s="40" t="s">
        <v>106</v>
      </c>
      <c r="H188" s="46" t="s">
        <v>488</v>
      </c>
      <c r="I188" s="44" t="s">
        <v>493</v>
      </c>
      <c r="J188" s="43" t="s">
        <v>494</v>
      </c>
      <c r="K188" s="40"/>
      <c r="L188" s="40"/>
      <c r="M188" s="40"/>
      <c r="N188" s="46" t="s">
        <v>495</v>
      </c>
    </row>
    <row r="189" ht="22.5" customHeight="1">
      <c r="A189" s="40" t="s">
        <v>14</v>
      </c>
      <c r="B189" s="41" t="s">
        <v>492</v>
      </c>
      <c r="C189" s="40" t="s">
        <v>108</v>
      </c>
      <c r="D189" s="40" t="s">
        <v>18</v>
      </c>
      <c r="E189" s="40" t="str">
        <f t="shared" si="2"/>
        <v>105L199V01</v>
      </c>
      <c r="F189" s="40" t="s">
        <v>110</v>
      </c>
      <c r="G189" s="40" t="s">
        <v>109</v>
      </c>
      <c r="H189" s="46" t="s">
        <v>488</v>
      </c>
      <c r="I189" s="44" t="s">
        <v>493</v>
      </c>
      <c r="J189" s="43" t="s">
        <v>494</v>
      </c>
      <c r="K189" s="40"/>
      <c r="L189" s="40"/>
      <c r="M189" s="40"/>
      <c r="N189" s="46" t="s">
        <v>495</v>
      </c>
    </row>
    <row r="190" ht="22.5" customHeight="1">
      <c r="A190" s="40" t="s">
        <v>14</v>
      </c>
      <c r="B190" s="41" t="s">
        <v>492</v>
      </c>
      <c r="C190" s="40" t="s">
        <v>111</v>
      </c>
      <c r="D190" s="40" t="s">
        <v>18</v>
      </c>
      <c r="E190" s="40" t="str">
        <f t="shared" si="2"/>
        <v>105L199V01</v>
      </c>
      <c r="F190" s="40" t="s">
        <v>113</v>
      </c>
      <c r="G190" s="40" t="s">
        <v>112</v>
      </c>
      <c r="H190" s="46" t="s">
        <v>488</v>
      </c>
      <c r="I190" s="44" t="s">
        <v>493</v>
      </c>
      <c r="J190" s="43" t="s">
        <v>494</v>
      </c>
      <c r="K190" s="40"/>
      <c r="L190" s="40"/>
      <c r="M190" s="40"/>
      <c r="N190" s="46" t="s">
        <v>495</v>
      </c>
    </row>
    <row r="191" ht="22.5" customHeight="1">
      <c r="A191" s="40" t="s">
        <v>14</v>
      </c>
      <c r="B191" s="41" t="s">
        <v>492</v>
      </c>
      <c r="C191" s="40" t="s">
        <v>114</v>
      </c>
      <c r="D191" s="40" t="s">
        <v>18</v>
      </c>
      <c r="E191" s="40" t="str">
        <f t="shared" si="2"/>
        <v>105L199V01</v>
      </c>
      <c r="F191" s="40" t="s">
        <v>116</v>
      </c>
      <c r="G191" s="40" t="s">
        <v>115</v>
      </c>
      <c r="H191" s="46" t="s">
        <v>488</v>
      </c>
      <c r="I191" s="44" t="s">
        <v>493</v>
      </c>
      <c r="J191" s="43" t="s">
        <v>494</v>
      </c>
      <c r="K191" s="40"/>
      <c r="L191" s="40"/>
      <c r="M191" s="40"/>
      <c r="N191" s="46" t="s">
        <v>495</v>
      </c>
    </row>
    <row r="192" ht="22.5" customHeight="1">
      <c r="A192" s="40" t="s">
        <v>14</v>
      </c>
      <c r="B192" s="41" t="s">
        <v>492</v>
      </c>
      <c r="C192" s="40" t="s">
        <v>117</v>
      </c>
      <c r="D192" s="40" t="s">
        <v>18</v>
      </c>
      <c r="E192" s="40" t="str">
        <f t="shared" si="2"/>
        <v>105L199V01</v>
      </c>
      <c r="F192" s="40" t="s">
        <v>119</v>
      </c>
      <c r="G192" s="40" t="s">
        <v>118</v>
      </c>
      <c r="H192" s="46" t="s">
        <v>488</v>
      </c>
      <c r="I192" s="44" t="s">
        <v>493</v>
      </c>
      <c r="J192" s="43" t="s">
        <v>494</v>
      </c>
      <c r="K192" s="40"/>
      <c r="L192" s="40"/>
      <c r="M192" s="40"/>
      <c r="N192" s="46" t="s">
        <v>495</v>
      </c>
    </row>
    <row r="193" ht="22.5" customHeight="1">
      <c r="A193" s="40" t="s">
        <v>14</v>
      </c>
      <c r="B193" s="41" t="s">
        <v>496</v>
      </c>
      <c r="C193" s="40" t="s">
        <v>15</v>
      </c>
      <c r="D193" s="40" t="s">
        <v>18</v>
      </c>
      <c r="E193" s="40" t="str">
        <f t="shared" si="2"/>
        <v>105L207V01</v>
      </c>
      <c r="F193" s="40" t="s">
        <v>17</v>
      </c>
      <c r="G193" s="40" t="s">
        <v>16</v>
      </c>
      <c r="H193" s="46" t="s">
        <v>488</v>
      </c>
      <c r="I193" s="44" t="s">
        <v>497</v>
      </c>
      <c r="J193" s="43" t="s">
        <v>498</v>
      </c>
      <c r="K193" s="40"/>
      <c r="L193" s="40"/>
      <c r="M193" s="40"/>
      <c r="N193" s="46" t="s">
        <v>495</v>
      </c>
    </row>
    <row r="194" ht="22.5" customHeight="1">
      <c r="A194" s="40" t="s">
        <v>14</v>
      </c>
      <c r="B194" s="41" t="s">
        <v>496</v>
      </c>
      <c r="C194" s="40" t="s">
        <v>24</v>
      </c>
      <c r="D194" s="40" t="s">
        <v>18</v>
      </c>
      <c r="E194" s="40" t="str">
        <f t="shared" si="2"/>
        <v>105L207V01</v>
      </c>
      <c r="F194" s="40" t="s">
        <v>26</v>
      </c>
      <c r="G194" s="40" t="s">
        <v>25</v>
      </c>
      <c r="H194" s="46" t="s">
        <v>488</v>
      </c>
      <c r="I194" s="44" t="s">
        <v>497</v>
      </c>
      <c r="J194" s="43" t="s">
        <v>498</v>
      </c>
      <c r="K194" s="40"/>
      <c r="L194" s="40"/>
      <c r="M194" s="40"/>
      <c r="N194" s="46" t="s">
        <v>495</v>
      </c>
    </row>
    <row r="195" ht="22.5" customHeight="1">
      <c r="A195" s="40" t="s">
        <v>14</v>
      </c>
      <c r="B195" s="41" t="s">
        <v>496</v>
      </c>
      <c r="C195" s="41" t="s">
        <v>455</v>
      </c>
      <c r="D195" s="40" t="s">
        <v>18</v>
      </c>
      <c r="E195" s="40" t="str">
        <f t="shared" si="2"/>
        <v>105L207V01</v>
      </c>
      <c r="F195" s="40" t="s">
        <v>29</v>
      </c>
      <c r="G195" s="40" t="s">
        <v>28</v>
      </c>
      <c r="H195" s="46" t="s">
        <v>488</v>
      </c>
      <c r="I195" s="44" t="s">
        <v>497</v>
      </c>
      <c r="J195" s="43" t="s">
        <v>498</v>
      </c>
      <c r="K195" s="40"/>
      <c r="L195" s="40"/>
      <c r="M195" s="40"/>
      <c r="N195" s="46" t="s">
        <v>495</v>
      </c>
    </row>
    <row r="196" ht="22.5" customHeight="1">
      <c r="A196" s="40" t="s">
        <v>14</v>
      </c>
      <c r="B196" s="41" t="s">
        <v>496</v>
      </c>
      <c r="C196" s="40" t="s">
        <v>30</v>
      </c>
      <c r="D196" s="40" t="s">
        <v>18</v>
      </c>
      <c r="E196" s="40" t="str">
        <f t="shared" si="2"/>
        <v>105L207V01</v>
      </c>
      <c r="F196" s="40" t="s">
        <v>32</v>
      </c>
      <c r="G196" s="40" t="s">
        <v>31</v>
      </c>
      <c r="H196" s="46" t="s">
        <v>488</v>
      </c>
      <c r="I196" s="44" t="s">
        <v>497</v>
      </c>
      <c r="J196" s="43" t="s">
        <v>498</v>
      </c>
      <c r="K196" s="40"/>
      <c r="L196" s="40"/>
      <c r="M196" s="40"/>
      <c r="N196" s="46" t="s">
        <v>495</v>
      </c>
    </row>
    <row r="197" ht="22.5" customHeight="1">
      <c r="A197" s="40" t="s">
        <v>14</v>
      </c>
      <c r="B197" s="41" t="s">
        <v>496</v>
      </c>
      <c r="C197" s="40" t="s">
        <v>33</v>
      </c>
      <c r="D197" s="40" t="s">
        <v>18</v>
      </c>
      <c r="E197" s="40" t="str">
        <f t="shared" si="2"/>
        <v>105L207V01</v>
      </c>
      <c r="F197" s="40" t="s">
        <v>35</v>
      </c>
      <c r="G197" s="40" t="s">
        <v>34</v>
      </c>
      <c r="H197" s="46" t="s">
        <v>488</v>
      </c>
      <c r="I197" s="44" t="s">
        <v>497</v>
      </c>
      <c r="J197" s="43" t="s">
        <v>498</v>
      </c>
      <c r="K197" s="40"/>
      <c r="L197" s="40"/>
      <c r="M197" s="40"/>
      <c r="N197" s="46" t="s">
        <v>495</v>
      </c>
    </row>
    <row r="198" ht="22.5" customHeight="1">
      <c r="A198" s="40" t="s">
        <v>14</v>
      </c>
      <c r="B198" s="41" t="s">
        <v>496</v>
      </c>
      <c r="C198" s="40" t="s">
        <v>36</v>
      </c>
      <c r="D198" s="40" t="s">
        <v>18</v>
      </c>
      <c r="E198" s="40" t="str">
        <f t="shared" si="2"/>
        <v>105L207V01</v>
      </c>
      <c r="F198" s="40" t="s">
        <v>38</v>
      </c>
      <c r="G198" s="40" t="s">
        <v>37</v>
      </c>
      <c r="H198" s="46" t="s">
        <v>488</v>
      </c>
      <c r="I198" s="44" t="s">
        <v>497</v>
      </c>
      <c r="J198" s="43" t="s">
        <v>498</v>
      </c>
      <c r="K198" s="40"/>
      <c r="L198" s="40"/>
      <c r="M198" s="40"/>
      <c r="N198" s="46" t="s">
        <v>495</v>
      </c>
    </row>
    <row r="199" ht="22.5" customHeight="1">
      <c r="A199" s="40" t="s">
        <v>14</v>
      </c>
      <c r="B199" s="41" t="s">
        <v>496</v>
      </c>
      <c r="C199" s="40" t="s">
        <v>39</v>
      </c>
      <c r="D199" s="40" t="s">
        <v>18</v>
      </c>
      <c r="E199" s="40" t="str">
        <f t="shared" si="2"/>
        <v>105L207V01</v>
      </c>
      <c r="F199" s="40" t="s">
        <v>41</v>
      </c>
      <c r="G199" s="40" t="s">
        <v>40</v>
      </c>
      <c r="H199" s="46" t="s">
        <v>488</v>
      </c>
      <c r="I199" s="44" t="s">
        <v>497</v>
      </c>
      <c r="J199" s="43" t="s">
        <v>498</v>
      </c>
      <c r="K199" s="40"/>
      <c r="L199" s="40"/>
      <c r="M199" s="40"/>
      <c r="N199" s="46" t="s">
        <v>495</v>
      </c>
    </row>
    <row r="200" ht="22.5" customHeight="1">
      <c r="A200" s="40" t="s">
        <v>14</v>
      </c>
      <c r="B200" s="41" t="s">
        <v>496</v>
      </c>
      <c r="C200" s="40" t="s">
        <v>42</v>
      </c>
      <c r="D200" s="40" t="s">
        <v>18</v>
      </c>
      <c r="E200" s="40" t="str">
        <f t="shared" si="2"/>
        <v>105L207V01</v>
      </c>
      <c r="F200" s="40" t="s">
        <v>44</v>
      </c>
      <c r="G200" s="40" t="s">
        <v>43</v>
      </c>
      <c r="H200" s="46" t="s">
        <v>488</v>
      </c>
      <c r="I200" s="44" t="s">
        <v>497</v>
      </c>
      <c r="J200" s="43" t="s">
        <v>498</v>
      </c>
      <c r="K200" s="40"/>
      <c r="L200" s="40"/>
      <c r="M200" s="40"/>
      <c r="N200" s="46" t="s">
        <v>495</v>
      </c>
    </row>
    <row r="201" ht="22.5" customHeight="1">
      <c r="A201" s="40" t="s">
        <v>14</v>
      </c>
      <c r="B201" s="41" t="s">
        <v>496</v>
      </c>
      <c r="C201" s="40" t="s">
        <v>45</v>
      </c>
      <c r="D201" s="40" t="s">
        <v>48</v>
      </c>
      <c r="E201" s="40" t="str">
        <f t="shared" si="2"/>
        <v>105L207V01</v>
      </c>
      <c r="F201" s="40" t="s">
        <v>47</v>
      </c>
      <c r="G201" s="40" t="s">
        <v>46</v>
      </c>
      <c r="H201" s="46" t="s">
        <v>488</v>
      </c>
      <c r="I201" s="44" t="s">
        <v>497</v>
      </c>
      <c r="J201" s="43" t="s">
        <v>498</v>
      </c>
      <c r="K201" s="40"/>
      <c r="L201" s="40"/>
      <c r="M201" s="40"/>
      <c r="N201" s="46" t="s">
        <v>495</v>
      </c>
    </row>
    <row r="202" ht="22.5" customHeight="1">
      <c r="A202" s="40" t="s">
        <v>14</v>
      </c>
      <c r="B202" s="41" t="s">
        <v>496</v>
      </c>
      <c r="C202" s="40" t="s">
        <v>50</v>
      </c>
      <c r="D202" s="40" t="s">
        <v>48</v>
      </c>
      <c r="E202" s="40" t="str">
        <f t="shared" si="2"/>
        <v>105L207V01</v>
      </c>
      <c r="F202" s="40" t="s">
        <v>52</v>
      </c>
      <c r="G202" s="40" t="s">
        <v>51</v>
      </c>
      <c r="H202" s="46" t="s">
        <v>488</v>
      </c>
      <c r="I202" s="44" t="s">
        <v>497</v>
      </c>
      <c r="J202" s="43" t="s">
        <v>498</v>
      </c>
      <c r="K202" s="40"/>
      <c r="L202" s="40"/>
      <c r="M202" s="40"/>
      <c r="N202" s="46" t="s">
        <v>495</v>
      </c>
    </row>
    <row r="203" ht="22.5" customHeight="1">
      <c r="A203" s="40" t="s">
        <v>14</v>
      </c>
      <c r="B203" s="41" t="s">
        <v>496</v>
      </c>
      <c r="C203" s="40" t="s">
        <v>53</v>
      </c>
      <c r="D203" s="40" t="s">
        <v>56</v>
      </c>
      <c r="E203" s="40" t="str">
        <f t="shared" si="2"/>
        <v>105L207V01</v>
      </c>
      <c r="F203" s="40" t="s">
        <v>55</v>
      </c>
      <c r="G203" s="40" t="s">
        <v>54</v>
      </c>
      <c r="H203" s="46" t="s">
        <v>488</v>
      </c>
      <c r="I203" s="44" t="s">
        <v>497</v>
      </c>
      <c r="J203" s="43" t="s">
        <v>498</v>
      </c>
      <c r="K203" s="40"/>
      <c r="L203" s="40"/>
      <c r="M203" s="40"/>
      <c r="N203" s="46" t="s">
        <v>495</v>
      </c>
    </row>
    <row r="204" ht="22.5" customHeight="1">
      <c r="A204" s="40" t="s">
        <v>14</v>
      </c>
      <c r="B204" s="41" t="s">
        <v>496</v>
      </c>
      <c r="C204" s="40" t="s">
        <v>58</v>
      </c>
      <c r="D204" s="40" t="s">
        <v>56</v>
      </c>
      <c r="E204" s="40" t="str">
        <f t="shared" si="2"/>
        <v>105L207V01</v>
      </c>
      <c r="F204" s="40" t="s">
        <v>59</v>
      </c>
      <c r="G204" s="40" t="s">
        <v>54</v>
      </c>
      <c r="H204" s="46" t="s">
        <v>488</v>
      </c>
      <c r="I204" s="44" t="s">
        <v>497</v>
      </c>
      <c r="J204" s="43" t="s">
        <v>498</v>
      </c>
      <c r="K204" s="40"/>
      <c r="L204" s="40"/>
      <c r="M204" s="40"/>
      <c r="N204" s="46" t="s">
        <v>495</v>
      </c>
    </row>
    <row r="205" ht="22.5" customHeight="1">
      <c r="A205" s="40" t="s">
        <v>14</v>
      </c>
      <c r="B205" s="41" t="s">
        <v>496</v>
      </c>
      <c r="C205" s="40" t="s">
        <v>60</v>
      </c>
      <c r="D205" s="40" t="s">
        <v>56</v>
      </c>
      <c r="E205" s="40" t="str">
        <f t="shared" si="2"/>
        <v>105L207V01</v>
      </c>
      <c r="F205" s="40" t="s">
        <v>62</v>
      </c>
      <c r="G205" s="40" t="s">
        <v>61</v>
      </c>
      <c r="H205" s="46" t="s">
        <v>488</v>
      </c>
      <c r="I205" s="44" t="s">
        <v>497</v>
      </c>
      <c r="J205" s="43" t="s">
        <v>498</v>
      </c>
      <c r="K205" s="40"/>
      <c r="L205" s="40"/>
      <c r="M205" s="40"/>
      <c r="N205" s="46" t="s">
        <v>495</v>
      </c>
    </row>
    <row r="206" ht="22.5" customHeight="1">
      <c r="A206" s="40" t="s">
        <v>14</v>
      </c>
      <c r="B206" s="41" t="s">
        <v>496</v>
      </c>
      <c r="C206" s="40" t="s">
        <v>63</v>
      </c>
      <c r="D206" s="40" t="s">
        <v>48</v>
      </c>
      <c r="E206" s="40" t="str">
        <f t="shared" si="2"/>
        <v>105L207V01</v>
      </c>
      <c r="F206" s="40" t="s">
        <v>65</v>
      </c>
      <c r="G206" s="40" t="s">
        <v>64</v>
      </c>
      <c r="H206" s="46" t="s">
        <v>488</v>
      </c>
      <c r="I206" s="44" t="s">
        <v>497</v>
      </c>
      <c r="J206" s="43" t="s">
        <v>498</v>
      </c>
      <c r="K206" s="40"/>
      <c r="L206" s="40"/>
      <c r="M206" s="40"/>
      <c r="N206" s="46" t="s">
        <v>495</v>
      </c>
    </row>
    <row r="207" ht="22.5" customHeight="1">
      <c r="A207" s="40" t="s">
        <v>14</v>
      </c>
      <c r="B207" s="41" t="s">
        <v>496</v>
      </c>
      <c r="C207" s="40" t="s">
        <v>66</v>
      </c>
      <c r="D207" s="40" t="s">
        <v>18</v>
      </c>
      <c r="E207" s="40" t="str">
        <f t="shared" si="2"/>
        <v>105L207V01</v>
      </c>
      <c r="F207" s="40" t="s">
        <v>68</v>
      </c>
      <c r="G207" s="40" t="s">
        <v>67</v>
      </c>
      <c r="H207" s="46" t="s">
        <v>488</v>
      </c>
      <c r="I207" s="44" t="s">
        <v>497</v>
      </c>
      <c r="J207" s="43" t="s">
        <v>498</v>
      </c>
      <c r="K207" s="40"/>
      <c r="L207" s="40"/>
      <c r="M207" s="40"/>
      <c r="N207" s="46" t="s">
        <v>495</v>
      </c>
    </row>
    <row r="208" ht="22.5" customHeight="1">
      <c r="A208" s="40" t="s">
        <v>14</v>
      </c>
      <c r="B208" s="41" t="s">
        <v>496</v>
      </c>
      <c r="C208" s="40" t="s">
        <v>69</v>
      </c>
      <c r="D208" s="40" t="s">
        <v>18</v>
      </c>
      <c r="E208" s="40" t="str">
        <f t="shared" si="2"/>
        <v>105L207V01</v>
      </c>
      <c r="F208" s="40" t="s">
        <v>71</v>
      </c>
      <c r="G208" s="40" t="s">
        <v>70</v>
      </c>
      <c r="H208" s="46" t="s">
        <v>488</v>
      </c>
      <c r="I208" s="44" t="s">
        <v>497</v>
      </c>
      <c r="J208" s="43" t="s">
        <v>498</v>
      </c>
      <c r="K208" s="40"/>
      <c r="L208" s="40"/>
      <c r="M208" s="40"/>
      <c r="N208" s="46" t="s">
        <v>495</v>
      </c>
    </row>
    <row r="209" ht="22.5" customHeight="1">
      <c r="A209" s="40" t="s">
        <v>14</v>
      </c>
      <c r="B209" s="41" t="s">
        <v>496</v>
      </c>
      <c r="C209" s="40" t="s">
        <v>72</v>
      </c>
      <c r="D209" s="40" t="s">
        <v>48</v>
      </c>
      <c r="E209" s="40" t="str">
        <f t="shared" si="2"/>
        <v>105L207V01</v>
      </c>
      <c r="F209" s="40" t="s">
        <v>74</v>
      </c>
      <c r="G209" s="40" t="s">
        <v>73</v>
      </c>
      <c r="H209" s="46" t="s">
        <v>488</v>
      </c>
      <c r="I209" s="44" t="s">
        <v>497</v>
      </c>
      <c r="J209" s="43" t="s">
        <v>498</v>
      </c>
      <c r="K209" s="40"/>
      <c r="L209" s="40"/>
      <c r="M209" s="40"/>
      <c r="N209" s="46" t="s">
        <v>495</v>
      </c>
    </row>
    <row r="210" ht="22.5" customHeight="1">
      <c r="A210" s="40" t="s">
        <v>14</v>
      </c>
      <c r="B210" s="41" t="s">
        <v>496</v>
      </c>
      <c r="C210" s="40" t="s">
        <v>75</v>
      </c>
      <c r="D210" s="40" t="s">
        <v>56</v>
      </c>
      <c r="E210" s="40" t="str">
        <f t="shared" si="2"/>
        <v>105L207V01</v>
      </c>
      <c r="F210" s="40" t="s">
        <v>77</v>
      </c>
      <c r="G210" s="40" t="s">
        <v>76</v>
      </c>
      <c r="H210" s="46" t="s">
        <v>488</v>
      </c>
      <c r="I210" s="44" t="s">
        <v>497</v>
      </c>
      <c r="J210" s="43" t="s">
        <v>498</v>
      </c>
      <c r="K210" s="40"/>
      <c r="L210" s="40"/>
      <c r="M210" s="40"/>
      <c r="N210" s="46" t="s">
        <v>495</v>
      </c>
    </row>
    <row r="211" ht="22.5" customHeight="1">
      <c r="A211" s="40" t="s">
        <v>14</v>
      </c>
      <c r="B211" s="41" t="s">
        <v>496</v>
      </c>
      <c r="C211" s="40" t="s">
        <v>78</v>
      </c>
      <c r="D211" s="40" t="s">
        <v>18</v>
      </c>
      <c r="E211" s="40" t="str">
        <f t="shared" si="2"/>
        <v>105L207V01</v>
      </c>
      <c r="F211" s="40" t="s">
        <v>80</v>
      </c>
      <c r="G211" s="40" t="s">
        <v>79</v>
      </c>
      <c r="H211" s="46" t="s">
        <v>488</v>
      </c>
      <c r="I211" s="44" t="s">
        <v>497</v>
      </c>
      <c r="J211" s="43" t="s">
        <v>498</v>
      </c>
      <c r="K211" s="40"/>
      <c r="L211" s="40"/>
      <c r="M211" s="40"/>
      <c r="N211" s="46" t="s">
        <v>495</v>
      </c>
    </row>
    <row r="212" ht="22.5" customHeight="1">
      <c r="A212" s="40" t="s">
        <v>14</v>
      </c>
      <c r="B212" s="41" t="s">
        <v>496</v>
      </c>
      <c r="C212" s="40" t="s">
        <v>81</v>
      </c>
      <c r="D212" s="40" t="s">
        <v>18</v>
      </c>
      <c r="E212" s="40" t="str">
        <f t="shared" si="2"/>
        <v>105L207V01</v>
      </c>
      <c r="F212" s="40" t="s">
        <v>83</v>
      </c>
      <c r="G212" s="40" t="s">
        <v>82</v>
      </c>
      <c r="H212" s="46" t="s">
        <v>488</v>
      </c>
      <c r="I212" s="44" t="s">
        <v>497</v>
      </c>
      <c r="J212" s="43" t="s">
        <v>498</v>
      </c>
      <c r="K212" s="40"/>
      <c r="L212" s="40"/>
      <c r="M212" s="40"/>
      <c r="N212" s="46" t="s">
        <v>495</v>
      </c>
    </row>
    <row r="213" ht="22.5" customHeight="1">
      <c r="A213" s="40" t="s">
        <v>14</v>
      </c>
      <c r="B213" s="41" t="s">
        <v>496</v>
      </c>
      <c r="C213" s="40" t="s">
        <v>84</v>
      </c>
      <c r="D213" s="40" t="s">
        <v>18</v>
      </c>
      <c r="E213" s="40" t="str">
        <f t="shared" si="2"/>
        <v>105L207V01</v>
      </c>
      <c r="F213" s="40" t="s">
        <v>86</v>
      </c>
      <c r="G213" s="40" t="s">
        <v>85</v>
      </c>
      <c r="H213" s="46" t="s">
        <v>488</v>
      </c>
      <c r="I213" s="44" t="s">
        <v>497</v>
      </c>
      <c r="J213" s="43" t="s">
        <v>498</v>
      </c>
      <c r="K213" s="40"/>
      <c r="L213" s="40"/>
      <c r="M213" s="40"/>
      <c r="N213" s="46" t="s">
        <v>495</v>
      </c>
    </row>
    <row r="214" ht="22.5" customHeight="1">
      <c r="A214" s="40" t="s">
        <v>14</v>
      </c>
      <c r="B214" s="41" t="s">
        <v>496</v>
      </c>
      <c r="C214" s="40" t="s">
        <v>87</v>
      </c>
      <c r="D214" s="40" t="s">
        <v>18</v>
      </c>
      <c r="E214" s="40" t="str">
        <f t="shared" si="2"/>
        <v>105L207V01</v>
      </c>
      <c r="F214" s="40" t="s">
        <v>89</v>
      </c>
      <c r="G214" s="40" t="s">
        <v>88</v>
      </c>
      <c r="H214" s="46" t="s">
        <v>488</v>
      </c>
      <c r="I214" s="44" t="s">
        <v>497</v>
      </c>
      <c r="J214" s="43" t="s">
        <v>498</v>
      </c>
      <c r="K214" s="40"/>
      <c r="L214" s="40"/>
      <c r="M214" s="40"/>
      <c r="N214" s="46" t="s">
        <v>495</v>
      </c>
    </row>
    <row r="215" ht="22.5" customHeight="1">
      <c r="A215" s="40" t="s">
        <v>14</v>
      </c>
      <c r="B215" s="41" t="s">
        <v>496</v>
      </c>
      <c r="C215" s="40" t="s">
        <v>90</v>
      </c>
      <c r="D215" s="40" t="s">
        <v>18</v>
      </c>
      <c r="E215" s="40" t="str">
        <f t="shared" si="2"/>
        <v>105L207V01</v>
      </c>
      <c r="F215" s="40" t="s">
        <v>92</v>
      </c>
      <c r="G215" s="40" t="s">
        <v>91</v>
      </c>
      <c r="H215" s="46" t="s">
        <v>488</v>
      </c>
      <c r="I215" s="44" t="s">
        <v>497</v>
      </c>
      <c r="J215" s="43" t="s">
        <v>498</v>
      </c>
      <c r="K215" s="40"/>
      <c r="L215" s="40"/>
      <c r="M215" s="40"/>
      <c r="N215" s="46" t="s">
        <v>495</v>
      </c>
    </row>
    <row r="216" ht="22.5" customHeight="1">
      <c r="A216" s="40" t="s">
        <v>14</v>
      </c>
      <c r="B216" s="41" t="s">
        <v>496</v>
      </c>
      <c r="C216" s="40" t="s">
        <v>93</v>
      </c>
      <c r="D216" s="40" t="s">
        <v>18</v>
      </c>
      <c r="E216" s="40" t="str">
        <f t="shared" si="2"/>
        <v>105L207V01</v>
      </c>
      <c r="F216" s="40" t="s">
        <v>95</v>
      </c>
      <c r="G216" s="40" t="s">
        <v>94</v>
      </c>
      <c r="H216" s="46" t="s">
        <v>488</v>
      </c>
      <c r="I216" s="44" t="s">
        <v>497</v>
      </c>
      <c r="J216" s="43" t="s">
        <v>498</v>
      </c>
      <c r="K216" s="40"/>
      <c r="L216" s="40"/>
      <c r="M216" s="40"/>
      <c r="N216" s="46" t="s">
        <v>495</v>
      </c>
    </row>
    <row r="217" ht="22.5" customHeight="1">
      <c r="A217" s="40" t="s">
        <v>14</v>
      </c>
      <c r="B217" s="41" t="s">
        <v>496</v>
      </c>
      <c r="C217" s="40" t="s">
        <v>96</v>
      </c>
      <c r="D217" s="40" t="s">
        <v>18</v>
      </c>
      <c r="E217" s="40" t="str">
        <f t="shared" si="2"/>
        <v>105L207V01</v>
      </c>
      <c r="F217" s="40" t="s">
        <v>98</v>
      </c>
      <c r="G217" s="40" t="s">
        <v>97</v>
      </c>
      <c r="H217" s="46" t="s">
        <v>488</v>
      </c>
      <c r="I217" s="44" t="s">
        <v>497</v>
      </c>
      <c r="J217" s="43" t="s">
        <v>498</v>
      </c>
      <c r="K217" s="40"/>
      <c r="L217" s="40"/>
      <c r="M217" s="40"/>
      <c r="N217" s="46" t="s">
        <v>495</v>
      </c>
    </row>
    <row r="218" ht="22.5" customHeight="1">
      <c r="A218" s="40" t="s">
        <v>14</v>
      </c>
      <c r="B218" s="41" t="s">
        <v>496</v>
      </c>
      <c r="C218" s="40" t="s">
        <v>99</v>
      </c>
      <c r="D218" s="40" t="s">
        <v>18</v>
      </c>
      <c r="E218" s="40" t="str">
        <f t="shared" si="2"/>
        <v>105L207V01</v>
      </c>
      <c r="F218" s="40" t="s">
        <v>101</v>
      </c>
      <c r="G218" s="40" t="s">
        <v>100</v>
      </c>
      <c r="H218" s="46" t="s">
        <v>488</v>
      </c>
      <c r="I218" s="44" t="s">
        <v>497</v>
      </c>
      <c r="J218" s="43" t="s">
        <v>498</v>
      </c>
      <c r="K218" s="40"/>
      <c r="L218" s="40"/>
      <c r="M218" s="40"/>
      <c r="N218" s="46" t="s">
        <v>495</v>
      </c>
    </row>
    <row r="219" ht="22.5" customHeight="1">
      <c r="A219" s="40" t="s">
        <v>14</v>
      </c>
      <c r="B219" s="41" t="s">
        <v>496</v>
      </c>
      <c r="C219" s="40" t="s">
        <v>102</v>
      </c>
      <c r="D219" s="40" t="s">
        <v>18</v>
      </c>
      <c r="E219" s="40" t="str">
        <f t="shared" si="2"/>
        <v>105L207V01</v>
      </c>
      <c r="F219" s="40" t="s">
        <v>104</v>
      </c>
      <c r="G219" s="40" t="s">
        <v>103</v>
      </c>
      <c r="H219" s="46" t="s">
        <v>488</v>
      </c>
      <c r="I219" s="44" t="s">
        <v>497</v>
      </c>
      <c r="J219" s="43" t="s">
        <v>498</v>
      </c>
      <c r="K219" s="40"/>
      <c r="L219" s="40"/>
      <c r="M219" s="40"/>
      <c r="N219" s="46" t="s">
        <v>495</v>
      </c>
    </row>
    <row r="220" ht="22.5" customHeight="1">
      <c r="A220" s="40" t="s">
        <v>14</v>
      </c>
      <c r="B220" s="41" t="s">
        <v>496</v>
      </c>
      <c r="C220" s="40" t="s">
        <v>105</v>
      </c>
      <c r="D220" s="40" t="s">
        <v>18</v>
      </c>
      <c r="E220" s="40" t="str">
        <f t="shared" si="2"/>
        <v>105L207V01</v>
      </c>
      <c r="F220" s="40" t="s">
        <v>107</v>
      </c>
      <c r="G220" s="40" t="s">
        <v>106</v>
      </c>
      <c r="H220" s="46" t="s">
        <v>488</v>
      </c>
      <c r="I220" s="44" t="s">
        <v>497</v>
      </c>
      <c r="J220" s="43" t="s">
        <v>498</v>
      </c>
      <c r="K220" s="40"/>
      <c r="L220" s="40"/>
      <c r="M220" s="40"/>
      <c r="N220" s="46" t="s">
        <v>495</v>
      </c>
    </row>
    <row r="221" ht="22.5" customHeight="1">
      <c r="A221" s="40" t="s">
        <v>14</v>
      </c>
      <c r="B221" s="41" t="s">
        <v>496</v>
      </c>
      <c r="C221" s="40" t="s">
        <v>108</v>
      </c>
      <c r="D221" s="40" t="s">
        <v>18</v>
      </c>
      <c r="E221" s="40" t="str">
        <f t="shared" si="2"/>
        <v>105L207V01</v>
      </c>
      <c r="F221" s="40" t="s">
        <v>110</v>
      </c>
      <c r="G221" s="40" t="s">
        <v>109</v>
      </c>
      <c r="H221" s="46" t="s">
        <v>488</v>
      </c>
      <c r="I221" s="44" t="s">
        <v>497</v>
      </c>
      <c r="J221" s="43" t="s">
        <v>498</v>
      </c>
      <c r="K221" s="40"/>
      <c r="L221" s="40"/>
      <c r="M221" s="40"/>
      <c r="N221" s="46" t="s">
        <v>495</v>
      </c>
    </row>
    <row r="222" ht="22.5" customHeight="1">
      <c r="A222" s="40" t="s">
        <v>14</v>
      </c>
      <c r="B222" s="41" t="s">
        <v>496</v>
      </c>
      <c r="C222" s="40" t="s">
        <v>111</v>
      </c>
      <c r="D222" s="40" t="s">
        <v>18</v>
      </c>
      <c r="E222" s="40" t="str">
        <f t="shared" si="2"/>
        <v>105L207V01</v>
      </c>
      <c r="F222" s="40" t="s">
        <v>113</v>
      </c>
      <c r="G222" s="40" t="s">
        <v>112</v>
      </c>
      <c r="H222" s="46" t="s">
        <v>488</v>
      </c>
      <c r="I222" s="44" t="s">
        <v>497</v>
      </c>
      <c r="J222" s="43" t="s">
        <v>498</v>
      </c>
      <c r="K222" s="40"/>
      <c r="L222" s="40"/>
      <c r="M222" s="40"/>
      <c r="N222" s="46" t="s">
        <v>495</v>
      </c>
    </row>
    <row r="223" ht="22.5" customHeight="1">
      <c r="A223" s="40" t="s">
        <v>14</v>
      </c>
      <c r="B223" s="41" t="s">
        <v>496</v>
      </c>
      <c r="C223" s="40" t="s">
        <v>114</v>
      </c>
      <c r="D223" s="40" t="s">
        <v>18</v>
      </c>
      <c r="E223" s="40" t="str">
        <f t="shared" si="2"/>
        <v>105L207V01</v>
      </c>
      <c r="F223" s="40" t="s">
        <v>116</v>
      </c>
      <c r="G223" s="40" t="s">
        <v>115</v>
      </c>
      <c r="H223" s="46" t="s">
        <v>488</v>
      </c>
      <c r="I223" s="44" t="s">
        <v>497</v>
      </c>
      <c r="J223" s="43" t="s">
        <v>498</v>
      </c>
      <c r="K223" s="40"/>
      <c r="L223" s="40"/>
      <c r="M223" s="40"/>
      <c r="N223" s="46" t="s">
        <v>495</v>
      </c>
    </row>
    <row r="224" ht="22.5" customHeight="1">
      <c r="A224" s="40" t="s">
        <v>14</v>
      </c>
      <c r="B224" s="41" t="s">
        <v>496</v>
      </c>
      <c r="C224" s="40" t="s">
        <v>117</v>
      </c>
      <c r="D224" s="40" t="s">
        <v>18</v>
      </c>
      <c r="E224" s="40" t="str">
        <f t="shared" si="2"/>
        <v>105L207V01</v>
      </c>
      <c r="F224" s="40" t="s">
        <v>119</v>
      </c>
      <c r="G224" s="40" t="s">
        <v>118</v>
      </c>
      <c r="H224" s="46" t="s">
        <v>488</v>
      </c>
      <c r="I224" s="44" t="s">
        <v>497</v>
      </c>
      <c r="J224" s="43" t="s">
        <v>498</v>
      </c>
      <c r="K224" s="40"/>
      <c r="L224" s="40"/>
      <c r="M224" s="40"/>
      <c r="N224" s="46" t="s">
        <v>495</v>
      </c>
    </row>
  </sheetData>
  <conditionalFormatting sqref="A2:N224">
    <cfRule type="expression" dxfId="5" priority="1">
      <formula>$B2="Smart Insurance Plan"</formula>
    </cfRule>
  </conditionalFormatting>
  <conditionalFormatting sqref="A2:N224">
    <cfRule type="expression" dxfId="6" priority="2">
      <formula>$B2="Signature Funds"</formula>
    </cfRule>
  </conditionalFormatting>
  <conditionalFormatting sqref="A2:N224">
    <cfRule type="expression" dxfId="7" priority="3">
      <formula>$B2="Signature Assure Funds"</formula>
    </cfRule>
  </conditionalFormatting>
  <conditionalFormatting sqref="A2:N224">
    <cfRule type="expression" dxfId="8" priority="4">
      <formula>$B2="Pru1 Wealth"</formula>
    </cfRule>
  </conditionalFormatting>
  <conditionalFormatting sqref="A2:N224">
    <cfRule type="expression" dxfId="9" priority="5">
      <formula>$B2="Signature Pension"</formula>
    </cfRule>
  </conditionalFormatting>
  <conditionalFormatting sqref="A2:N224">
    <cfRule type="expression" dxfId="10" priority="6">
      <formula>$B2="Signature Secure"</formula>
    </cfRule>
  </conditionalFormatting>
  <conditionalFormatting sqref="A2:N224">
    <cfRule type="expression" dxfId="11" priority="7">
      <formula>$B2="Platinum Funds"</formula>
    </cfRule>
  </conditionalFormatting>
  <conditionalFormatting sqref="A2:N224">
    <cfRule type="expression" dxfId="12" priority="8">
      <formula>$B2="Smart Goal Assure"</formula>
    </cfRule>
  </conditionalFormatting>
  <conditionalFormatting sqref="A2:N224">
    <cfRule type="expression" dxfId="13" priority="9">
      <formula>$B2="Wealth Elite Pro"</formula>
    </cfRule>
  </conditionalFormatting>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J74"/>
    <hyperlink r:id="rId74" ref="J75"/>
    <hyperlink r:id="rId75" ref="J76"/>
    <hyperlink r:id="rId76" ref="J77"/>
    <hyperlink r:id="rId77" ref="J78"/>
    <hyperlink r:id="rId78" ref="J79"/>
    <hyperlink r:id="rId79" ref="J80"/>
    <hyperlink r:id="rId80" ref="J81"/>
    <hyperlink r:id="rId81" ref="J82"/>
    <hyperlink r:id="rId82" ref="J83"/>
    <hyperlink r:id="rId83" ref="J84"/>
    <hyperlink r:id="rId84" ref="J85"/>
    <hyperlink r:id="rId85" ref="J86"/>
    <hyperlink r:id="rId86" ref="J87"/>
    <hyperlink r:id="rId87" ref="J88"/>
    <hyperlink r:id="rId88" ref="J89"/>
    <hyperlink r:id="rId89" ref="J90"/>
    <hyperlink r:id="rId90" ref="J91"/>
    <hyperlink r:id="rId91" ref="J92"/>
    <hyperlink r:id="rId92" ref="J93"/>
    <hyperlink r:id="rId93" ref="J94"/>
    <hyperlink r:id="rId94" ref="J95"/>
    <hyperlink r:id="rId95" ref="J96"/>
    <hyperlink r:id="rId96" ref="J97"/>
    <hyperlink r:id="rId97" ref="J98"/>
    <hyperlink r:id="rId98" ref="J99"/>
    <hyperlink r:id="rId99" ref="J100"/>
    <hyperlink r:id="rId100" ref="J101"/>
    <hyperlink r:id="rId101" ref="J102"/>
    <hyperlink r:id="rId102" ref="J103"/>
    <hyperlink r:id="rId103" ref="J104"/>
    <hyperlink r:id="rId104" ref="J105"/>
    <hyperlink r:id="rId105" ref="J106"/>
    <hyperlink r:id="rId106" ref="J107"/>
    <hyperlink r:id="rId107" ref="J108"/>
    <hyperlink r:id="rId108" ref="J109"/>
    <hyperlink r:id="rId109" ref="J110"/>
    <hyperlink r:id="rId110" ref="J111"/>
    <hyperlink r:id="rId111" ref="J112"/>
    <hyperlink r:id="rId112" ref="J113"/>
    <hyperlink r:id="rId113" ref="J114"/>
    <hyperlink r:id="rId114" ref="J115"/>
    <hyperlink r:id="rId115" ref="J116"/>
    <hyperlink r:id="rId116" ref="J117"/>
    <hyperlink r:id="rId117" ref="J118"/>
    <hyperlink r:id="rId118" ref="J119"/>
    <hyperlink r:id="rId119" ref="J120"/>
    <hyperlink r:id="rId120" ref="J121"/>
    <hyperlink r:id="rId121" ref="J122"/>
    <hyperlink r:id="rId122" ref="J123"/>
    <hyperlink r:id="rId123" ref="J124"/>
    <hyperlink r:id="rId124" ref="J125"/>
    <hyperlink r:id="rId125" ref="J126"/>
    <hyperlink r:id="rId126" ref="J127"/>
    <hyperlink r:id="rId127" ref="J128"/>
    <hyperlink r:id="rId128" ref="J129"/>
    <hyperlink r:id="rId129" ref="J130"/>
    <hyperlink r:id="rId130" ref="J131"/>
    <hyperlink r:id="rId131" ref="J132"/>
    <hyperlink r:id="rId132" ref="J133"/>
    <hyperlink r:id="rId133" ref="J134"/>
    <hyperlink r:id="rId134" ref="J135"/>
    <hyperlink r:id="rId135" ref="J136"/>
    <hyperlink r:id="rId136" ref="J137"/>
    <hyperlink r:id="rId137" ref="J138"/>
    <hyperlink r:id="rId138" ref="J139"/>
    <hyperlink r:id="rId139" ref="J140"/>
    <hyperlink r:id="rId140" ref="J141"/>
    <hyperlink r:id="rId141" ref="J142"/>
    <hyperlink r:id="rId142" ref="J143"/>
    <hyperlink r:id="rId143" ref="J144"/>
    <hyperlink r:id="rId144" ref="J145"/>
    <hyperlink r:id="rId145" ref="J146"/>
    <hyperlink r:id="rId146" ref="J147"/>
    <hyperlink r:id="rId147" ref="J148"/>
    <hyperlink r:id="rId148" ref="J149"/>
    <hyperlink r:id="rId149" ref="J150"/>
    <hyperlink r:id="rId150" ref="J151"/>
    <hyperlink r:id="rId151" ref="J152"/>
    <hyperlink r:id="rId152" ref="J153"/>
    <hyperlink r:id="rId153" ref="J154"/>
    <hyperlink r:id="rId154" ref="J155"/>
    <hyperlink r:id="rId155" ref="J156"/>
    <hyperlink r:id="rId156" ref="J157"/>
    <hyperlink r:id="rId157" ref="J158"/>
    <hyperlink r:id="rId158" ref="J159"/>
    <hyperlink r:id="rId159" ref="J160"/>
    <hyperlink r:id="rId160" ref="J161"/>
    <hyperlink r:id="rId161" ref="J162"/>
    <hyperlink r:id="rId162" ref="J163"/>
    <hyperlink r:id="rId163" ref="J164"/>
    <hyperlink r:id="rId164" ref="J165"/>
    <hyperlink r:id="rId165" ref="J166"/>
    <hyperlink r:id="rId166" ref="J167"/>
    <hyperlink r:id="rId167" ref="J168"/>
    <hyperlink r:id="rId168" ref="J169"/>
    <hyperlink r:id="rId169" ref="J170"/>
    <hyperlink r:id="rId170" ref="J171"/>
    <hyperlink r:id="rId171" ref="J172"/>
    <hyperlink r:id="rId172" ref="J173"/>
    <hyperlink r:id="rId173" ref="J174"/>
    <hyperlink r:id="rId174" ref="J175"/>
    <hyperlink r:id="rId175" ref="J176"/>
    <hyperlink r:id="rId176" ref="J177"/>
    <hyperlink r:id="rId177" ref="J178"/>
    <hyperlink r:id="rId178" ref="J179"/>
    <hyperlink r:id="rId179" ref="J180"/>
    <hyperlink r:id="rId180" ref="J181"/>
    <hyperlink r:id="rId181" ref="J182"/>
    <hyperlink r:id="rId182" ref="J183"/>
    <hyperlink r:id="rId183" ref="J184"/>
    <hyperlink r:id="rId184" ref="J185"/>
    <hyperlink r:id="rId185" ref="J186"/>
    <hyperlink r:id="rId186" ref="J187"/>
    <hyperlink r:id="rId187" ref="J188"/>
    <hyperlink r:id="rId188" ref="J189"/>
    <hyperlink r:id="rId189" ref="J190"/>
    <hyperlink r:id="rId190" ref="J191"/>
    <hyperlink r:id="rId191" ref="J192"/>
    <hyperlink r:id="rId192" ref="J193"/>
    <hyperlink r:id="rId193" ref="J194"/>
    <hyperlink r:id="rId194" ref="J195"/>
    <hyperlink r:id="rId195" ref="J196"/>
    <hyperlink r:id="rId196" ref="J197"/>
    <hyperlink r:id="rId197" ref="J198"/>
    <hyperlink r:id="rId198" ref="J199"/>
    <hyperlink r:id="rId199" ref="J200"/>
    <hyperlink r:id="rId200" ref="J201"/>
    <hyperlink r:id="rId201" ref="J202"/>
    <hyperlink r:id="rId202" ref="J203"/>
    <hyperlink r:id="rId203" ref="J204"/>
    <hyperlink r:id="rId204" ref="J205"/>
    <hyperlink r:id="rId205" ref="J206"/>
    <hyperlink r:id="rId206" ref="J207"/>
    <hyperlink r:id="rId207" ref="J208"/>
    <hyperlink r:id="rId208" ref="J209"/>
    <hyperlink r:id="rId209" ref="J210"/>
    <hyperlink r:id="rId210" ref="J211"/>
    <hyperlink r:id="rId211" ref="J212"/>
    <hyperlink r:id="rId212" ref="J213"/>
    <hyperlink r:id="rId213" ref="J214"/>
    <hyperlink r:id="rId214" ref="J215"/>
    <hyperlink r:id="rId215" ref="J216"/>
    <hyperlink r:id="rId216" ref="J217"/>
    <hyperlink r:id="rId217" ref="J218"/>
    <hyperlink r:id="rId218" ref="J219"/>
    <hyperlink r:id="rId219" ref="J220"/>
    <hyperlink r:id="rId220" ref="J221"/>
    <hyperlink r:id="rId221" ref="J222"/>
    <hyperlink r:id="rId222" ref="J223"/>
    <hyperlink r:id="rId223" ref="J224"/>
  </hyperlinks>
  <drawing r:id="rId224"/>
  <tableParts count="1">
    <tablePart r:id="rId22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24.0"/>
    <col customWidth="1" min="8" max="8" width="13.13"/>
    <col customWidth="1" min="9" max="9" width="23.5"/>
    <col customWidth="1" min="10" max="10" width="17.75"/>
    <col customWidth="1" min="12" max="12" width="16.38"/>
    <col customWidth="1" min="13" max="13" width="15.25"/>
    <col customWidth="1" min="14" max="14" width="17.75"/>
  </cols>
  <sheetData>
    <row r="1" ht="46.5" customHeight="1">
      <c r="A1" s="48" t="s">
        <v>0</v>
      </c>
      <c r="B1" s="48" t="s">
        <v>299</v>
      </c>
      <c r="C1" s="48" t="s">
        <v>300</v>
      </c>
      <c r="D1" s="48" t="s">
        <v>4</v>
      </c>
      <c r="E1" s="48" t="s">
        <v>301</v>
      </c>
      <c r="F1" s="48" t="s">
        <v>3</v>
      </c>
      <c r="G1" s="49" t="s">
        <v>2</v>
      </c>
      <c r="H1" s="48" t="s">
        <v>302</v>
      </c>
      <c r="I1" s="50" t="s">
        <v>303</v>
      </c>
      <c r="J1" s="48" t="s">
        <v>9</v>
      </c>
      <c r="K1" s="48" t="s">
        <v>10</v>
      </c>
      <c r="L1" s="48" t="s">
        <v>11</v>
      </c>
      <c r="M1" s="48" t="s">
        <v>12</v>
      </c>
      <c r="N1" s="48" t="s">
        <v>13</v>
      </c>
      <c r="O1" s="51"/>
      <c r="P1" s="51"/>
      <c r="Q1" s="51"/>
      <c r="R1" s="51"/>
      <c r="S1" s="51"/>
      <c r="T1" s="51"/>
      <c r="U1" s="51"/>
      <c r="V1" s="51"/>
      <c r="W1" s="51"/>
      <c r="X1" s="51"/>
      <c r="Y1" s="51"/>
      <c r="Z1" s="51"/>
    </row>
    <row r="2" ht="22.5" customHeight="1">
      <c r="A2" s="46" t="s">
        <v>150</v>
      </c>
      <c r="B2" s="52" t="s">
        <v>499</v>
      </c>
      <c r="C2" s="52" t="s">
        <v>151</v>
      </c>
      <c r="D2" s="52" t="str">
        <f t="shared" ref="D2:D58" si="1">IF(LOWER(TRIM(A2))&lt;&gt;"hdfc","",IFS(
LOWER(TRIM(C2))="diversified equity fund","Equity",
LOWER(TRIM(C2))="blue chip fund","Equity",
LOWER(TRIM(C2))="balanced fund","Hybrid",
LOWER(TRIM(C2))="bond fund","Debt",
LOWER(TRIM(C2))="discovery fund","Equity",
LOWER(TRIM(C2))="equity advantage fund","Equity",
LOWER(TRIM(C2))="opportunities fund","Equity",
LOWER(TRIM(C2))="liquid fund","Debt",
LOWER(TRIM(C2))="bond plus fund","Debt",
LOWER(TRIM(C2))="secure advantage fund","Hybrid",
LOWER(TRIM(C2))="sustainable equity fund","Equity",
LOWER(TRIM(C2))="flexi cap fund","Equity",
LOWER(TRIM(C2))="midcap momentum fund","Equity",
LOWER(TRIM(C2))="nifty alpha 30 fund","Equity",
LOWER(TRIM(C2))="top 500 momentum 50 fund","Equity",
LOWER(TRIM(C2))="dynamic advantage fund","Hybrid",
LOWER(TRIM(C2))="top 300 alpha 50 fund","Equity",
LOWER(TRIM(C2))="top 500 multifactor 50 fund","Equity",
LOWER(TRIM(C2))="india consumption advantage fund","Equity",
LOWER(TRIM(C2))="india sector leaders opportunities fund","Equity",
LOWER(TRIM(C2))="top 500 smart value 50 fund","Equity",
LOWER(TRIM(C2))="capital growth fund","Equity",
LOWER(TRIM(C2))="capital secure fund","Hybrid",
LOWER(TRIM(C2))="equity plus fund","Equity",
LOWER(TRIM(C2))="conservative fund","Debt",
LOWER(TRIM(C2))="income fund","Debt",
LOWER(TRIM(C2))="secure managed fund","Debt"))</f>
        <v>Equity</v>
      </c>
      <c r="E2" s="46" t="s">
        <v>500</v>
      </c>
      <c r="F2" s="46" t="s">
        <v>153</v>
      </c>
      <c r="G2" s="53" t="s">
        <v>152</v>
      </c>
      <c r="H2" s="46" t="s">
        <v>501</v>
      </c>
      <c r="I2" s="46" t="s">
        <v>502</v>
      </c>
      <c r="J2" s="54" t="s">
        <v>503</v>
      </c>
      <c r="K2" s="55" t="s">
        <v>22</v>
      </c>
      <c r="L2" s="55" t="s">
        <v>19</v>
      </c>
      <c r="M2" s="55" t="s">
        <v>23</v>
      </c>
      <c r="N2" s="56"/>
      <c r="O2" s="51"/>
      <c r="P2" s="51"/>
      <c r="Q2" s="51"/>
      <c r="R2" s="51"/>
      <c r="S2" s="51"/>
      <c r="T2" s="51"/>
      <c r="U2" s="51"/>
      <c r="V2" s="51"/>
      <c r="W2" s="51"/>
      <c r="X2" s="51"/>
      <c r="Y2" s="51"/>
      <c r="Z2" s="51"/>
    </row>
    <row r="3" ht="22.5" customHeight="1">
      <c r="A3" s="46" t="s">
        <v>150</v>
      </c>
      <c r="B3" s="52" t="s">
        <v>499</v>
      </c>
      <c r="C3" s="52" t="s">
        <v>155</v>
      </c>
      <c r="D3" s="52" t="str">
        <f t="shared" si="1"/>
        <v>Equity</v>
      </c>
      <c r="E3" s="46" t="s">
        <v>500</v>
      </c>
      <c r="F3" s="46" t="s">
        <v>157</v>
      </c>
      <c r="G3" s="57" t="s">
        <v>156</v>
      </c>
      <c r="H3" s="46" t="s">
        <v>501</v>
      </c>
      <c r="I3" s="46" t="s">
        <v>502</v>
      </c>
      <c r="J3" s="55" t="s">
        <v>504</v>
      </c>
      <c r="K3" s="55" t="s">
        <v>22</v>
      </c>
      <c r="L3" s="55" t="s">
        <v>19</v>
      </c>
      <c r="M3" s="55" t="s">
        <v>23</v>
      </c>
      <c r="N3" s="56"/>
      <c r="O3" s="51"/>
      <c r="P3" s="51"/>
      <c r="Q3" s="51"/>
      <c r="R3" s="51"/>
      <c r="S3" s="51"/>
      <c r="T3" s="51"/>
      <c r="U3" s="51"/>
      <c r="V3" s="51"/>
      <c r="W3" s="51"/>
      <c r="X3" s="51"/>
      <c r="Y3" s="51"/>
      <c r="Z3" s="51"/>
    </row>
    <row r="4" ht="22.5" customHeight="1">
      <c r="A4" s="46" t="s">
        <v>150</v>
      </c>
      <c r="B4" s="52" t="s">
        <v>499</v>
      </c>
      <c r="C4" s="52" t="s">
        <v>158</v>
      </c>
      <c r="D4" s="52" t="str">
        <f t="shared" si="1"/>
        <v>Hybrid</v>
      </c>
      <c r="E4" s="46" t="s">
        <v>500</v>
      </c>
      <c r="F4" s="46" t="s">
        <v>160</v>
      </c>
      <c r="G4" s="53" t="s">
        <v>159</v>
      </c>
      <c r="H4" s="46" t="s">
        <v>501</v>
      </c>
      <c r="I4" s="46" t="s">
        <v>502</v>
      </c>
      <c r="J4" s="55" t="s">
        <v>505</v>
      </c>
      <c r="K4" s="55" t="s">
        <v>22</v>
      </c>
      <c r="L4" s="55" t="s">
        <v>19</v>
      </c>
      <c r="M4" s="55" t="s">
        <v>23</v>
      </c>
      <c r="N4" s="56"/>
      <c r="O4" s="51"/>
      <c r="P4" s="51"/>
      <c r="Q4" s="51"/>
      <c r="R4" s="51"/>
      <c r="S4" s="51"/>
      <c r="T4" s="51"/>
      <c r="U4" s="51"/>
      <c r="V4" s="51"/>
      <c r="W4" s="51"/>
      <c r="X4" s="51"/>
      <c r="Y4" s="51"/>
      <c r="Z4" s="51"/>
    </row>
    <row r="5" ht="22.5" customHeight="1">
      <c r="A5" s="46" t="s">
        <v>150</v>
      </c>
      <c r="B5" s="52" t="s">
        <v>499</v>
      </c>
      <c r="C5" s="52" t="s">
        <v>162</v>
      </c>
      <c r="D5" s="52" t="str">
        <f t="shared" si="1"/>
        <v>Debt</v>
      </c>
      <c r="E5" s="46" t="s">
        <v>500</v>
      </c>
      <c r="F5" s="46" t="s">
        <v>164</v>
      </c>
      <c r="G5" s="57" t="s">
        <v>163</v>
      </c>
      <c r="H5" s="46" t="s">
        <v>501</v>
      </c>
      <c r="I5" s="46" t="s">
        <v>502</v>
      </c>
      <c r="J5" s="55" t="s">
        <v>506</v>
      </c>
      <c r="K5" s="55" t="s">
        <v>22</v>
      </c>
      <c r="L5" s="55" t="s">
        <v>19</v>
      </c>
      <c r="M5" s="55" t="s">
        <v>23</v>
      </c>
      <c r="N5" s="56"/>
      <c r="O5" s="51"/>
      <c r="P5" s="51"/>
      <c r="Q5" s="51"/>
      <c r="R5" s="51"/>
      <c r="S5" s="51"/>
      <c r="T5" s="51"/>
      <c r="U5" s="51"/>
      <c r="V5" s="51"/>
      <c r="W5" s="51"/>
      <c r="X5" s="51"/>
      <c r="Y5" s="51"/>
      <c r="Z5" s="51"/>
    </row>
    <row r="6" ht="22.5" customHeight="1">
      <c r="A6" s="46" t="s">
        <v>150</v>
      </c>
      <c r="B6" s="52" t="s">
        <v>499</v>
      </c>
      <c r="C6" s="52" t="s">
        <v>165</v>
      </c>
      <c r="D6" s="52" t="str">
        <f t="shared" si="1"/>
        <v>Equity</v>
      </c>
      <c r="E6" s="46" t="s">
        <v>500</v>
      </c>
      <c r="F6" s="46" t="s">
        <v>167</v>
      </c>
      <c r="G6" s="53" t="s">
        <v>166</v>
      </c>
      <c r="H6" s="46" t="s">
        <v>501</v>
      </c>
      <c r="I6" s="46" t="s">
        <v>502</v>
      </c>
      <c r="J6" s="55" t="s">
        <v>507</v>
      </c>
      <c r="K6" s="55" t="s">
        <v>22</v>
      </c>
      <c r="L6" s="55" t="s">
        <v>19</v>
      </c>
      <c r="M6" s="55" t="s">
        <v>23</v>
      </c>
      <c r="N6" s="56"/>
      <c r="O6" s="51"/>
      <c r="P6" s="51"/>
      <c r="Q6" s="51"/>
      <c r="R6" s="51"/>
      <c r="S6" s="51"/>
      <c r="T6" s="51"/>
      <c r="U6" s="51"/>
      <c r="V6" s="51"/>
      <c r="W6" s="51"/>
      <c r="X6" s="51"/>
      <c r="Y6" s="51"/>
      <c r="Z6" s="51"/>
    </row>
    <row r="7" ht="22.5" customHeight="1">
      <c r="A7" s="46" t="s">
        <v>150</v>
      </c>
      <c r="B7" s="52" t="s">
        <v>499</v>
      </c>
      <c r="C7" s="52" t="s">
        <v>168</v>
      </c>
      <c r="D7" s="52" t="str">
        <f t="shared" si="1"/>
        <v>Equity</v>
      </c>
      <c r="E7" s="46" t="s">
        <v>500</v>
      </c>
      <c r="F7" s="46" t="s">
        <v>170</v>
      </c>
      <c r="G7" s="57" t="s">
        <v>169</v>
      </c>
      <c r="H7" s="46" t="s">
        <v>501</v>
      </c>
      <c r="I7" s="46" t="s">
        <v>502</v>
      </c>
      <c r="J7" s="55" t="s">
        <v>508</v>
      </c>
      <c r="K7" s="55" t="s">
        <v>22</v>
      </c>
      <c r="L7" s="55" t="s">
        <v>19</v>
      </c>
      <c r="M7" s="55" t="s">
        <v>23</v>
      </c>
      <c r="N7" s="56"/>
      <c r="O7" s="51"/>
      <c r="P7" s="51"/>
      <c r="Q7" s="51"/>
      <c r="R7" s="51"/>
      <c r="S7" s="51"/>
      <c r="T7" s="51"/>
      <c r="U7" s="51"/>
      <c r="V7" s="51"/>
      <c r="W7" s="51"/>
      <c r="X7" s="51"/>
      <c r="Y7" s="51"/>
      <c r="Z7" s="51"/>
    </row>
    <row r="8" ht="22.5" customHeight="1">
      <c r="A8" s="46" t="s">
        <v>150</v>
      </c>
      <c r="B8" s="52" t="s">
        <v>499</v>
      </c>
      <c r="C8" s="52" t="s">
        <v>36</v>
      </c>
      <c r="D8" s="52" t="str">
        <f t="shared" si="1"/>
        <v>Equity</v>
      </c>
      <c r="E8" s="46" t="s">
        <v>500</v>
      </c>
      <c r="F8" s="46" t="s">
        <v>172</v>
      </c>
      <c r="G8" s="53" t="s">
        <v>171</v>
      </c>
      <c r="H8" s="46" t="s">
        <v>501</v>
      </c>
      <c r="I8" s="46" t="s">
        <v>502</v>
      </c>
      <c r="J8" s="55" t="s">
        <v>509</v>
      </c>
      <c r="K8" s="55" t="s">
        <v>22</v>
      </c>
      <c r="L8" s="55" t="s">
        <v>19</v>
      </c>
      <c r="M8" s="55" t="s">
        <v>23</v>
      </c>
      <c r="N8" s="56"/>
      <c r="O8" s="51"/>
      <c r="P8" s="51"/>
      <c r="Q8" s="51"/>
      <c r="R8" s="51"/>
      <c r="S8" s="51"/>
      <c r="T8" s="51"/>
      <c r="U8" s="51"/>
      <c r="V8" s="51"/>
      <c r="W8" s="51"/>
      <c r="X8" s="51"/>
      <c r="Y8" s="51"/>
      <c r="Z8" s="51"/>
    </row>
    <row r="9" ht="22.5" customHeight="1">
      <c r="A9" s="46" t="s">
        <v>150</v>
      </c>
      <c r="B9" s="52" t="s">
        <v>499</v>
      </c>
      <c r="C9" s="52" t="s">
        <v>173</v>
      </c>
      <c r="D9" s="52" t="str">
        <f t="shared" si="1"/>
        <v>Debt</v>
      </c>
      <c r="E9" s="46" t="s">
        <v>500</v>
      </c>
      <c r="F9" s="46" t="s">
        <v>175</v>
      </c>
      <c r="G9" s="57" t="s">
        <v>174</v>
      </c>
      <c r="H9" s="46" t="s">
        <v>501</v>
      </c>
      <c r="I9" s="46" t="s">
        <v>502</v>
      </c>
      <c r="J9" s="55" t="s">
        <v>510</v>
      </c>
      <c r="K9" s="55" t="s">
        <v>22</v>
      </c>
      <c r="L9" s="55" t="s">
        <v>19</v>
      </c>
      <c r="M9" s="55" t="s">
        <v>23</v>
      </c>
      <c r="N9" s="56"/>
      <c r="O9" s="51"/>
      <c r="P9" s="51"/>
      <c r="Q9" s="51"/>
      <c r="R9" s="51"/>
      <c r="S9" s="51"/>
      <c r="T9" s="51"/>
      <c r="U9" s="51"/>
      <c r="V9" s="51"/>
      <c r="W9" s="51"/>
      <c r="X9" s="51"/>
      <c r="Y9" s="51"/>
      <c r="Z9" s="51"/>
    </row>
    <row r="10" ht="22.5" customHeight="1">
      <c r="A10" s="46" t="s">
        <v>150</v>
      </c>
      <c r="B10" s="52" t="s">
        <v>499</v>
      </c>
      <c r="C10" s="52" t="s">
        <v>177</v>
      </c>
      <c r="D10" s="52" t="str">
        <f t="shared" si="1"/>
        <v>Debt</v>
      </c>
      <c r="E10" s="46" t="s">
        <v>500</v>
      </c>
      <c r="F10" s="46" t="s">
        <v>179</v>
      </c>
      <c r="G10" s="53" t="s">
        <v>178</v>
      </c>
      <c r="H10" s="46" t="s">
        <v>501</v>
      </c>
      <c r="I10" s="46" t="s">
        <v>502</v>
      </c>
      <c r="J10" s="55" t="s">
        <v>511</v>
      </c>
      <c r="K10" s="55" t="s">
        <v>22</v>
      </c>
      <c r="L10" s="55" t="s">
        <v>19</v>
      </c>
      <c r="M10" s="55" t="s">
        <v>23</v>
      </c>
      <c r="N10" s="56"/>
      <c r="O10" s="51"/>
      <c r="P10" s="51"/>
      <c r="Q10" s="51"/>
      <c r="R10" s="51"/>
      <c r="S10" s="51"/>
      <c r="T10" s="51"/>
      <c r="U10" s="51"/>
      <c r="V10" s="51"/>
      <c r="W10" s="51"/>
      <c r="X10" s="51"/>
      <c r="Y10" s="51"/>
      <c r="Z10" s="51"/>
    </row>
    <row r="11" ht="22.5" customHeight="1">
      <c r="A11" s="46" t="s">
        <v>150</v>
      </c>
      <c r="B11" s="52" t="s">
        <v>499</v>
      </c>
      <c r="C11" s="52" t="s">
        <v>180</v>
      </c>
      <c r="D11" s="52" t="str">
        <f t="shared" si="1"/>
        <v>Hybrid</v>
      </c>
      <c r="E11" s="46" t="s">
        <v>500</v>
      </c>
      <c r="F11" s="46" t="s">
        <v>182</v>
      </c>
      <c r="G11" s="57" t="s">
        <v>181</v>
      </c>
      <c r="H11" s="46" t="s">
        <v>501</v>
      </c>
      <c r="I11" s="46" t="s">
        <v>502</v>
      </c>
      <c r="J11" s="55" t="s">
        <v>512</v>
      </c>
      <c r="K11" s="55" t="s">
        <v>22</v>
      </c>
      <c r="L11" s="55" t="s">
        <v>19</v>
      </c>
      <c r="M11" s="55" t="s">
        <v>23</v>
      </c>
      <c r="N11" s="56"/>
      <c r="O11" s="51"/>
      <c r="P11" s="51"/>
      <c r="Q11" s="51"/>
      <c r="R11" s="51"/>
      <c r="S11" s="51"/>
      <c r="T11" s="51"/>
      <c r="U11" s="51"/>
      <c r="V11" s="51"/>
      <c r="W11" s="51"/>
      <c r="X11" s="51"/>
      <c r="Y11" s="51"/>
      <c r="Z11" s="51"/>
    </row>
    <row r="12" ht="22.5" customHeight="1">
      <c r="A12" s="46" t="s">
        <v>150</v>
      </c>
      <c r="B12" s="52" t="s">
        <v>499</v>
      </c>
      <c r="C12" s="52" t="s">
        <v>66</v>
      </c>
      <c r="D12" s="52" t="str">
        <f t="shared" si="1"/>
        <v>Equity</v>
      </c>
      <c r="E12" s="46" t="s">
        <v>500</v>
      </c>
      <c r="F12" s="46" t="s">
        <v>184</v>
      </c>
      <c r="G12" s="53" t="s">
        <v>183</v>
      </c>
      <c r="H12" s="46" t="s">
        <v>501</v>
      </c>
      <c r="I12" s="46" t="s">
        <v>502</v>
      </c>
      <c r="J12" s="55" t="s">
        <v>513</v>
      </c>
      <c r="K12" s="55" t="s">
        <v>22</v>
      </c>
      <c r="L12" s="55" t="s">
        <v>19</v>
      </c>
      <c r="M12" s="55" t="s">
        <v>23</v>
      </c>
      <c r="N12" s="56"/>
      <c r="O12" s="51"/>
      <c r="P12" s="51"/>
      <c r="Q12" s="51"/>
      <c r="R12" s="51"/>
      <c r="S12" s="51"/>
      <c r="T12" s="51"/>
      <c r="U12" s="51"/>
      <c r="V12" s="51"/>
      <c r="W12" s="51"/>
      <c r="X12" s="51"/>
      <c r="Y12" s="51"/>
      <c r="Z12" s="51"/>
    </row>
    <row r="13" ht="22.5" customHeight="1">
      <c r="A13" s="46" t="s">
        <v>150</v>
      </c>
      <c r="B13" s="52" t="s">
        <v>499</v>
      </c>
      <c r="C13" s="52" t="s">
        <v>185</v>
      </c>
      <c r="D13" s="52" t="str">
        <f t="shared" si="1"/>
        <v>Equity</v>
      </c>
      <c r="E13" s="46" t="s">
        <v>500</v>
      </c>
      <c r="F13" s="46" t="s">
        <v>187</v>
      </c>
      <c r="G13" s="57" t="s">
        <v>186</v>
      </c>
      <c r="H13" s="46" t="s">
        <v>501</v>
      </c>
      <c r="I13" s="46" t="s">
        <v>502</v>
      </c>
      <c r="J13" s="55" t="s">
        <v>514</v>
      </c>
      <c r="K13" s="55" t="s">
        <v>22</v>
      </c>
      <c r="L13" s="55" t="s">
        <v>19</v>
      </c>
      <c r="M13" s="55" t="s">
        <v>23</v>
      </c>
      <c r="N13" s="56"/>
      <c r="O13" s="51"/>
      <c r="P13" s="51"/>
      <c r="Q13" s="51"/>
      <c r="R13" s="51"/>
      <c r="S13" s="51"/>
      <c r="T13" s="51"/>
      <c r="U13" s="51"/>
      <c r="V13" s="51"/>
      <c r="W13" s="51"/>
      <c r="X13" s="51"/>
      <c r="Y13" s="51"/>
      <c r="Z13" s="51"/>
    </row>
    <row r="14" ht="22.5" customHeight="1">
      <c r="A14" s="46" t="s">
        <v>150</v>
      </c>
      <c r="B14" s="52" t="s">
        <v>499</v>
      </c>
      <c r="C14" s="52" t="s">
        <v>188</v>
      </c>
      <c r="D14" s="52" t="str">
        <f t="shared" si="1"/>
        <v>Equity</v>
      </c>
      <c r="E14" s="46" t="s">
        <v>500</v>
      </c>
      <c r="F14" s="46" t="s">
        <v>190</v>
      </c>
      <c r="G14" s="53" t="s">
        <v>189</v>
      </c>
      <c r="H14" s="46" t="s">
        <v>501</v>
      </c>
      <c r="I14" s="46" t="s">
        <v>502</v>
      </c>
      <c r="J14" s="55" t="s">
        <v>515</v>
      </c>
      <c r="K14" s="55" t="s">
        <v>22</v>
      </c>
      <c r="L14" s="55" t="s">
        <v>19</v>
      </c>
      <c r="M14" s="55" t="s">
        <v>23</v>
      </c>
      <c r="N14" s="56"/>
      <c r="O14" s="51"/>
      <c r="P14" s="51"/>
      <c r="Q14" s="51"/>
      <c r="R14" s="51"/>
      <c r="S14" s="51"/>
      <c r="T14" s="51"/>
      <c r="U14" s="51"/>
      <c r="V14" s="51"/>
      <c r="W14" s="51"/>
      <c r="X14" s="51"/>
      <c r="Y14" s="51"/>
      <c r="Z14" s="51"/>
    </row>
    <row r="15" ht="22.5" customHeight="1">
      <c r="A15" s="46" t="s">
        <v>150</v>
      </c>
      <c r="B15" s="52" t="s">
        <v>499</v>
      </c>
      <c r="C15" s="52" t="s">
        <v>191</v>
      </c>
      <c r="D15" s="52" t="str">
        <f t="shared" si="1"/>
        <v>Equity</v>
      </c>
      <c r="E15" s="46" t="s">
        <v>500</v>
      </c>
      <c r="F15" s="46" t="s">
        <v>193</v>
      </c>
      <c r="G15" s="57" t="s">
        <v>192</v>
      </c>
      <c r="H15" s="46" t="s">
        <v>501</v>
      </c>
      <c r="I15" s="46" t="s">
        <v>502</v>
      </c>
      <c r="J15" s="55" t="s">
        <v>516</v>
      </c>
      <c r="K15" s="55" t="s">
        <v>22</v>
      </c>
      <c r="L15" s="55" t="s">
        <v>19</v>
      </c>
      <c r="M15" s="55" t="s">
        <v>23</v>
      </c>
      <c r="N15" s="56"/>
      <c r="O15" s="51"/>
      <c r="P15" s="51"/>
      <c r="Q15" s="51"/>
      <c r="R15" s="51"/>
      <c r="S15" s="51"/>
      <c r="T15" s="51"/>
      <c r="U15" s="51"/>
      <c r="V15" s="51"/>
      <c r="W15" s="51"/>
      <c r="X15" s="51"/>
      <c r="Y15" s="51"/>
      <c r="Z15" s="51"/>
    </row>
    <row r="16" ht="22.5" customHeight="1">
      <c r="A16" s="46" t="s">
        <v>150</v>
      </c>
      <c r="B16" s="52" t="s">
        <v>499</v>
      </c>
      <c r="C16" s="52" t="s">
        <v>194</v>
      </c>
      <c r="D16" s="52" t="str">
        <f t="shared" si="1"/>
        <v>Equity</v>
      </c>
      <c r="E16" s="46" t="s">
        <v>500</v>
      </c>
      <c r="F16" s="46" t="s">
        <v>196</v>
      </c>
      <c r="G16" s="53" t="s">
        <v>195</v>
      </c>
      <c r="H16" s="46" t="s">
        <v>501</v>
      </c>
      <c r="I16" s="46" t="s">
        <v>502</v>
      </c>
      <c r="J16" s="55" t="s">
        <v>517</v>
      </c>
      <c r="K16" s="55" t="s">
        <v>22</v>
      </c>
      <c r="L16" s="55" t="s">
        <v>19</v>
      </c>
      <c r="M16" s="55" t="s">
        <v>23</v>
      </c>
      <c r="N16" s="56"/>
      <c r="O16" s="51"/>
      <c r="P16" s="51"/>
      <c r="Q16" s="51"/>
      <c r="R16" s="51"/>
      <c r="S16" s="51"/>
      <c r="T16" s="51"/>
      <c r="U16" s="51"/>
      <c r="V16" s="51"/>
      <c r="W16" s="51"/>
      <c r="X16" s="51"/>
      <c r="Y16" s="51"/>
      <c r="Z16" s="51"/>
    </row>
    <row r="17" ht="22.5" customHeight="1">
      <c r="A17" s="46" t="s">
        <v>150</v>
      </c>
      <c r="B17" s="52" t="s">
        <v>499</v>
      </c>
      <c r="C17" s="52" t="s">
        <v>197</v>
      </c>
      <c r="D17" s="52" t="str">
        <f t="shared" si="1"/>
        <v>Hybrid</v>
      </c>
      <c r="E17" s="46" t="s">
        <v>500</v>
      </c>
      <c r="F17" s="46" t="s">
        <v>199</v>
      </c>
      <c r="G17" s="57" t="s">
        <v>198</v>
      </c>
      <c r="H17" s="46" t="s">
        <v>501</v>
      </c>
      <c r="I17" s="46" t="s">
        <v>502</v>
      </c>
      <c r="J17" s="55" t="s">
        <v>518</v>
      </c>
      <c r="K17" s="55" t="s">
        <v>22</v>
      </c>
      <c r="L17" s="55" t="s">
        <v>19</v>
      </c>
      <c r="M17" s="55" t="s">
        <v>23</v>
      </c>
      <c r="N17" s="56"/>
      <c r="O17" s="51"/>
      <c r="P17" s="51"/>
      <c r="Q17" s="51"/>
      <c r="R17" s="51"/>
      <c r="S17" s="51"/>
      <c r="T17" s="51"/>
      <c r="U17" s="51"/>
      <c r="V17" s="51"/>
      <c r="W17" s="51"/>
      <c r="X17" s="51"/>
      <c r="Y17" s="51"/>
      <c r="Z17" s="51"/>
    </row>
    <row r="18" ht="22.5" customHeight="1">
      <c r="A18" s="46" t="s">
        <v>150</v>
      </c>
      <c r="B18" s="52" t="s">
        <v>499</v>
      </c>
      <c r="C18" s="52" t="s">
        <v>200</v>
      </c>
      <c r="D18" s="52" t="str">
        <f t="shared" si="1"/>
        <v>Equity</v>
      </c>
      <c r="E18" s="46" t="s">
        <v>500</v>
      </c>
      <c r="F18" s="46" t="s">
        <v>202</v>
      </c>
      <c r="G18" s="53" t="s">
        <v>201</v>
      </c>
      <c r="H18" s="46" t="s">
        <v>501</v>
      </c>
      <c r="I18" s="46" t="s">
        <v>502</v>
      </c>
      <c r="J18" s="55" t="s">
        <v>519</v>
      </c>
      <c r="K18" s="55" t="s">
        <v>22</v>
      </c>
      <c r="L18" s="55" t="s">
        <v>19</v>
      </c>
      <c r="M18" s="55" t="s">
        <v>23</v>
      </c>
      <c r="N18" s="56"/>
      <c r="O18" s="51"/>
      <c r="P18" s="51"/>
      <c r="Q18" s="51"/>
      <c r="R18" s="51"/>
      <c r="S18" s="51"/>
      <c r="T18" s="51"/>
      <c r="U18" s="51"/>
      <c r="V18" s="51"/>
      <c r="W18" s="51"/>
      <c r="X18" s="51"/>
      <c r="Y18" s="51"/>
      <c r="Z18" s="51"/>
    </row>
    <row r="19" ht="22.5" customHeight="1">
      <c r="A19" s="46" t="s">
        <v>150</v>
      </c>
      <c r="B19" s="52" t="s">
        <v>499</v>
      </c>
      <c r="C19" s="52" t="s">
        <v>203</v>
      </c>
      <c r="D19" s="52" t="str">
        <f t="shared" si="1"/>
        <v>Equity</v>
      </c>
      <c r="E19" s="46" t="s">
        <v>500</v>
      </c>
      <c r="F19" s="46" t="s">
        <v>205</v>
      </c>
      <c r="G19" s="57" t="s">
        <v>204</v>
      </c>
      <c r="H19" s="46" t="s">
        <v>501</v>
      </c>
      <c r="I19" s="46" t="s">
        <v>502</v>
      </c>
      <c r="J19" s="55" t="s">
        <v>520</v>
      </c>
      <c r="K19" s="55" t="s">
        <v>22</v>
      </c>
      <c r="L19" s="55" t="s">
        <v>19</v>
      </c>
      <c r="M19" s="55" t="s">
        <v>23</v>
      </c>
      <c r="N19" s="56"/>
      <c r="O19" s="51"/>
      <c r="P19" s="51"/>
      <c r="Q19" s="51"/>
      <c r="R19" s="51"/>
      <c r="S19" s="51"/>
      <c r="T19" s="51"/>
      <c r="U19" s="51"/>
      <c r="V19" s="51"/>
      <c r="W19" s="51"/>
      <c r="X19" s="51"/>
      <c r="Y19" s="51"/>
      <c r="Z19" s="51"/>
    </row>
    <row r="20" ht="22.5" customHeight="1">
      <c r="A20" s="46" t="s">
        <v>150</v>
      </c>
      <c r="B20" s="52" t="s">
        <v>499</v>
      </c>
      <c r="C20" s="52" t="s">
        <v>206</v>
      </c>
      <c r="D20" s="52" t="str">
        <f t="shared" si="1"/>
        <v>Equity</v>
      </c>
      <c r="E20" s="46" t="s">
        <v>500</v>
      </c>
      <c r="F20" s="46" t="s">
        <v>208</v>
      </c>
      <c r="G20" s="53" t="s">
        <v>207</v>
      </c>
      <c r="H20" s="46" t="s">
        <v>501</v>
      </c>
      <c r="I20" s="46" t="s">
        <v>502</v>
      </c>
      <c r="J20" s="55" t="s">
        <v>521</v>
      </c>
      <c r="K20" s="55" t="s">
        <v>22</v>
      </c>
      <c r="L20" s="55" t="s">
        <v>19</v>
      </c>
      <c r="M20" s="55" t="s">
        <v>23</v>
      </c>
      <c r="N20" s="56"/>
      <c r="O20" s="51"/>
      <c r="P20" s="51"/>
      <c r="Q20" s="51"/>
      <c r="R20" s="51"/>
      <c r="S20" s="51"/>
      <c r="T20" s="51"/>
      <c r="U20" s="51"/>
      <c r="V20" s="51"/>
      <c r="W20" s="51"/>
      <c r="X20" s="51"/>
      <c r="Y20" s="51"/>
      <c r="Z20" s="51"/>
    </row>
    <row r="21" ht="22.5" customHeight="1">
      <c r="A21" s="46" t="s">
        <v>150</v>
      </c>
      <c r="B21" s="52" t="s">
        <v>499</v>
      </c>
      <c r="C21" s="52" t="s">
        <v>209</v>
      </c>
      <c r="D21" s="52" t="str">
        <f t="shared" si="1"/>
        <v>Equity</v>
      </c>
      <c r="E21" s="46" t="s">
        <v>500</v>
      </c>
      <c r="F21" s="46" t="s">
        <v>211</v>
      </c>
      <c r="G21" s="57" t="s">
        <v>210</v>
      </c>
      <c r="H21" s="46" t="s">
        <v>501</v>
      </c>
      <c r="I21" s="46" t="s">
        <v>502</v>
      </c>
      <c r="J21" s="55" t="s">
        <v>522</v>
      </c>
      <c r="K21" s="55" t="s">
        <v>22</v>
      </c>
      <c r="L21" s="55" t="s">
        <v>19</v>
      </c>
      <c r="M21" s="55" t="s">
        <v>23</v>
      </c>
      <c r="N21" s="56"/>
      <c r="O21" s="51"/>
      <c r="P21" s="51"/>
      <c r="Q21" s="51"/>
      <c r="R21" s="51"/>
      <c r="S21" s="51"/>
      <c r="T21" s="51"/>
      <c r="U21" s="51"/>
      <c r="V21" s="51"/>
      <c r="W21" s="51"/>
      <c r="X21" s="51"/>
      <c r="Y21" s="51"/>
      <c r="Z21" s="51"/>
    </row>
    <row r="22" ht="22.5" customHeight="1">
      <c r="A22" s="46" t="s">
        <v>150</v>
      </c>
      <c r="B22" s="58" t="s">
        <v>523</v>
      </c>
      <c r="C22" s="46" t="s">
        <v>151</v>
      </c>
      <c r="D22" s="52" t="str">
        <f t="shared" si="1"/>
        <v>Equity</v>
      </c>
      <c r="E22" s="46" t="s">
        <v>524</v>
      </c>
      <c r="F22" s="46" t="s">
        <v>153</v>
      </c>
      <c r="G22" s="46" t="s">
        <v>152</v>
      </c>
      <c r="H22" s="46" t="s">
        <v>525</v>
      </c>
      <c r="I22" s="46" t="s">
        <v>526</v>
      </c>
      <c r="J22" s="59" t="s">
        <v>512</v>
      </c>
      <c r="K22" s="55" t="s">
        <v>22</v>
      </c>
      <c r="L22" s="55" t="s">
        <v>19</v>
      </c>
      <c r="M22" s="55" t="s">
        <v>23</v>
      </c>
      <c r="N22" s="56"/>
      <c r="O22" s="51"/>
      <c r="P22" s="51"/>
      <c r="Q22" s="51"/>
      <c r="R22" s="51"/>
      <c r="S22" s="51"/>
      <c r="T22" s="51"/>
      <c r="U22" s="51"/>
      <c r="V22" s="51"/>
      <c r="W22" s="51"/>
      <c r="X22" s="51"/>
      <c r="Y22" s="51"/>
      <c r="Z22" s="51"/>
    </row>
    <row r="23" ht="22.5" customHeight="1">
      <c r="A23" s="46" t="s">
        <v>150</v>
      </c>
      <c r="B23" s="58" t="s">
        <v>523</v>
      </c>
      <c r="C23" s="46" t="s">
        <v>155</v>
      </c>
      <c r="D23" s="52" t="str">
        <f t="shared" si="1"/>
        <v>Equity</v>
      </c>
      <c r="E23" s="46" t="s">
        <v>524</v>
      </c>
      <c r="F23" s="46" t="s">
        <v>157</v>
      </c>
      <c r="G23" s="46" t="s">
        <v>156</v>
      </c>
      <c r="H23" s="46" t="s">
        <v>525</v>
      </c>
      <c r="I23" s="46" t="s">
        <v>526</v>
      </c>
      <c r="J23" s="60" t="s">
        <v>513</v>
      </c>
      <c r="K23" s="55" t="s">
        <v>22</v>
      </c>
      <c r="L23" s="55" t="s">
        <v>19</v>
      </c>
      <c r="M23" s="55" t="s">
        <v>23</v>
      </c>
      <c r="N23" s="56"/>
      <c r="O23" s="51"/>
      <c r="P23" s="51"/>
      <c r="Q23" s="51"/>
      <c r="R23" s="51"/>
      <c r="S23" s="51"/>
      <c r="T23" s="51"/>
      <c r="U23" s="51"/>
      <c r="V23" s="51"/>
      <c r="W23" s="51"/>
      <c r="X23" s="51"/>
      <c r="Y23" s="51"/>
      <c r="Z23" s="51"/>
    </row>
    <row r="24" ht="22.5" customHeight="1">
      <c r="A24" s="46" t="s">
        <v>150</v>
      </c>
      <c r="B24" s="58" t="s">
        <v>523</v>
      </c>
      <c r="C24" s="46" t="s">
        <v>36</v>
      </c>
      <c r="D24" s="52" t="str">
        <f t="shared" si="1"/>
        <v>Equity</v>
      </c>
      <c r="E24" s="46" t="s">
        <v>524</v>
      </c>
      <c r="F24" s="46" t="s">
        <v>172</v>
      </c>
      <c r="G24" s="46" t="s">
        <v>171</v>
      </c>
      <c r="H24" s="46" t="s">
        <v>525</v>
      </c>
      <c r="I24" s="46" t="s">
        <v>526</v>
      </c>
      <c r="J24" s="60" t="s">
        <v>514</v>
      </c>
      <c r="K24" s="55" t="s">
        <v>22</v>
      </c>
      <c r="L24" s="55" t="s">
        <v>19</v>
      </c>
      <c r="M24" s="55" t="s">
        <v>23</v>
      </c>
      <c r="N24" s="56"/>
      <c r="O24" s="51"/>
      <c r="P24" s="51"/>
      <c r="Q24" s="51"/>
      <c r="R24" s="51"/>
      <c r="S24" s="51"/>
      <c r="T24" s="51"/>
      <c r="U24" s="51"/>
      <c r="V24" s="51"/>
      <c r="W24" s="51"/>
      <c r="X24" s="51"/>
      <c r="Y24" s="51"/>
      <c r="Z24" s="51"/>
    </row>
    <row r="25" ht="22.5" customHeight="1">
      <c r="A25" s="46" t="s">
        <v>150</v>
      </c>
      <c r="B25" s="58" t="s">
        <v>523</v>
      </c>
      <c r="C25" s="46" t="s">
        <v>158</v>
      </c>
      <c r="D25" s="52" t="str">
        <f t="shared" si="1"/>
        <v>Hybrid</v>
      </c>
      <c r="E25" s="46" t="s">
        <v>524</v>
      </c>
      <c r="F25" s="46" t="s">
        <v>160</v>
      </c>
      <c r="G25" s="46" t="s">
        <v>527</v>
      </c>
      <c r="H25" s="46" t="s">
        <v>525</v>
      </c>
      <c r="I25" s="46" t="s">
        <v>526</v>
      </c>
      <c r="J25" s="60" t="s">
        <v>515</v>
      </c>
      <c r="K25" s="55" t="s">
        <v>22</v>
      </c>
      <c r="L25" s="55" t="s">
        <v>19</v>
      </c>
      <c r="M25" s="55" t="s">
        <v>23</v>
      </c>
      <c r="N25" s="56"/>
      <c r="O25" s="51"/>
      <c r="P25" s="51"/>
      <c r="Q25" s="51"/>
      <c r="R25" s="51"/>
      <c r="S25" s="51"/>
      <c r="T25" s="51"/>
      <c r="U25" s="51"/>
      <c r="V25" s="51"/>
      <c r="W25" s="51"/>
      <c r="X25" s="51"/>
      <c r="Y25" s="51"/>
      <c r="Z25" s="51"/>
    </row>
    <row r="26" ht="22.5" customHeight="1">
      <c r="A26" s="46" t="s">
        <v>150</v>
      </c>
      <c r="B26" s="58" t="s">
        <v>523</v>
      </c>
      <c r="C26" s="46" t="s">
        <v>162</v>
      </c>
      <c r="D26" s="52" t="str">
        <f t="shared" si="1"/>
        <v>Debt</v>
      </c>
      <c r="E26" s="46" t="s">
        <v>524</v>
      </c>
      <c r="F26" s="46" t="s">
        <v>164</v>
      </c>
      <c r="G26" s="46" t="s">
        <v>163</v>
      </c>
      <c r="H26" s="46" t="s">
        <v>525</v>
      </c>
      <c r="I26" s="46" t="s">
        <v>526</v>
      </c>
      <c r="J26" s="60" t="s">
        <v>516</v>
      </c>
      <c r="K26" s="55" t="s">
        <v>22</v>
      </c>
      <c r="L26" s="55" t="s">
        <v>19</v>
      </c>
      <c r="M26" s="55" t="s">
        <v>23</v>
      </c>
      <c r="N26" s="56"/>
      <c r="O26" s="51"/>
      <c r="P26" s="51"/>
      <c r="Q26" s="51"/>
      <c r="R26" s="51"/>
      <c r="S26" s="51"/>
      <c r="T26" s="51"/>
      <c r="U26" s="51"/>
      <c r="V26" s="51"/>
      <c r="W26" s="51"/>
      <c r="X26" s="51"/>
      <c r="Y26" s="51"/>
      <c r="Z26" s="51"/>
    </row>
    <row r="27" ht="22.5" customHeight="1">
      <c r="A27" s="46" t="s">
        <v>150</v>
      </c>
      <c r="B27" s="58" t="s">
        <v>523</v>
      </c>
      <c r="C27" s="46" t="s">
        <v>165</v>
      </c>
      <c r="D27" s="52" t="str">
        <f t="shared" si="1"/>
        <v>Equity</v>
      </c>
      <c r="E27" s="46" t="s">
        <v>524</v>
      </c>
      <c r="F27" s="46" t="s">
        <v>167</v>
      </c>
      <c r="G27" s="46" t="s">
        <v>528</v>
      </c>
      <c r="H27" s="46" t="s">
        <v>525</v>
      </c>
      <c r="I27" s="46" t="s">
        <v>526</v>
      </c>
      <c r="J27" s="60" t="s">
        <v>517</v>
      </c>
      <c r="K27" s="55" t="s">
        <v>22</v>
      </c>
      <c r="L27" s="55" t="s">
        <v>19</v>
      </c>
      <c r="M27" s="55" t="s">
        <v>23</v>
      </c>
      <c r="N27" s="56"/>
      <c r="O27" s="51"/>
      <c r="P27" s="51"/>
      <c r="Q27" s="51"/>
      <c r="R27" s="51"/>
      <c r="S27" s="51"/>
      <c r="T27" s="51"/>
      <c r="U27" s="51"/>
      <c r="V27" s="51"/>
      <c r="W27" s="51"/>
      <c r="X27" s="51"/>
      <c r="Y27" s="51"/>
      <c r="Z27" s="51"/>
    </row>
    <row r="28" ht="22.5" customHeight="1">
      <c r="A28" s="46" t="s">
        <v>150</v>
      </c>
      <c r="B28" s="58" t="s">
        <v>523</v>
      </c>
      <c r="C28" s="46" t="s">
        <v>168</v>
      </c>
      <c r="D28" s="52" t="str">
        <f t="shared" si="1"/>
        <v>Equity</v>
      </c>
      <c r="E28" s="46" t="s">
        <v>524</v>
      </c>
      <c r="F28" s="46" t="s">
        <v>170</v>
      </c>
      <c r="G28" s="46" t="s">
        <v>529</v>
      </c>
      <c r="H28" s="46" t="s">
        <v>525</v>
      </c>
      <c r="I28" s="46" t="s">
        <v>526</v>
      </c>
      <c r="J28" s="60" t="s">
        <v>518</v>
      </c>
      <c r="K28" s="55" t="s">
        <v>22</v>
      </c>
      <c r="L28" s="55" t="s">
        <v>19</v>
      </c>
      <c r="M28" s="55" t="s">
        <v>23</v>
      </c>
      <c r="N28" s="56"/>
      <c r="O28" s="51"/>
      <c r="P28" s="51"/>
      <c r="Q28" s="51"/>
      <c r="R28" s="51"/>
      <c r="S28" s="51"/>
      <c r="T28" s="51"/>
      <c r="U28" s="51"/>
      <c r="V28" s="51"/>
      <c r="W28" s="51"/>
      <c r="X28" s="51"/>
      <c r="Y28" s="51"/>
      <c r="Z28" s="51"/>
    </row>
    <row r="29" ht="22.5" customHeight="1">
      <c r="A29" s="46" t="s">
        <v>150</v>
      </c>
      <c r="B29" s="58" t="s">
        <v>523</v>
      </c>
      <c r="C29" s="46" t="s">
        <v>185</v>
      </c>
      <c r="D29" s="52" t="str">
        <f t="shared" si="1"/>
        <v>Equity</v>
      </c>
      <c r="E29" s="46" t="s">
        <v>524</v>
      </c>
      <c r="F29" s="46" t="s">
        <v>187</v>
      </c>
      <c r="G29" s="46" t="s">
        <v>530</v>
      </c>
      <c r="H29" s="46" t="s">
        <v>525</v>
      </c>
      <c r="I29" s="46" t="s">
        <v>526</v>
      </c>
      <c r="J29" s="60" t="s">
        <v>519</v>
      </c>
      <c r="K29" s="55" t="s">
        <v>22</v>
      </c>
      <c r="L29" s="55" t="s">
        <v>19</v>
      </c>
      <c r="M29" s="55" t="s">
        <v>23</v>
      </c>
      <c r="N29" s="56"/>
      <c r="O29" s="51"/>
      <c r="P29" s="51"/>
      <c r="Q29" s="51"/>
      <c r="R29" s="51"/>
      <c r="S29" s="51"/>
      <c r="T29" s="51"/>
      <c r="U29" s="51"/>
      <c r="V29" s="51"/>
      <c r="W29" s="51"/>
      <c r="X29" s="51"/>
      <c r="Y29" s="51"/>
      <c r="Z29" s="51"/>
    </row>
    <row r="30" ht="22.5" customHeight="1">
      <c r="A30" s="46" t="s">
        <v>150</v>
      </c>
      <c r="B30" s="58" t="s">
        <v>523</v>
      </c>
      <c r="C30" s="46" t="s">
        <v>206</v>
      </c>
      <c r="D30" s="52" t="str">
        <f t="shared" si="1"/>
        <v>Equity</v>
      </c>
      <c r="E30" s="46" t="s">
        <v>524</v>
      </c>
      <c r="F30" s="46" t="s">
        <v>208</v>
      </c>
      <c r="G30" s="46" t="s">
        <v>531</v>
      </c>
      <c r="H30" s="46" t="s">
        <v>525</v>
      </c>
      <c r="I30" s="46" t="s">
        <v>526</v>
      </c>
      <c r="J30" s="60" t="s">
        <v>520</v>
      </c>
      <c r="K30" s="55" t="s">
        <v>22</v>
      </c>
      <c r="L30" s="55" t="s">
        <v>19</v>
      </c>
      <c r="M30" s="55" t="s">
        <v>23</v>
      </c>
      <c r="N30" s="56"/>
      <c r="O30" s="51"/>
      <c r="P30" s="51"/>
      <c r="Q30" s="51"/>
      <c r="R30" s="51"/>
      <c r="S30" s="51"/>
      <c r="T30" s="51"/>
      <c r="U30" s="51"/>
      <c r="V30" s="51"/>
      <c r="W30" s="51"/>
      <c r="X30" s="51"/>
      <c r="Y30" s="51"/>
      <c r="Z30" s="51"/>
    </row>
    <row r="31" ht="22.5" customHeight="1">
      <c r="A31" s="46" t="s">
        <v>150</v>
      </c>
      <c r="B31" s="58" t="s">
        <v>523</v>
      </c>
      <c r="C31" s="58" t="s">
        <v>532</v>
      </c>
      <c r="D31" s="52" t="str">
        <f t="shared" si="1"/>
        <v>Equity</v>
      </c>
      <c r="E31" s="46" t="s">
        <v>524</v>
      </c>
      <c r="F31" s="46" t="s">
        <v>533</v>
      </c>
      <c r="G31" s="46" t="s">
        <v>534</v>
      </c>
      <c r="H31" s="46" t="s">
        <v>525</v>
      </c>
      <c r="I31" s="46" t="s">
        <v>526</v>
      </c>
      <c r="J31" s="60" t="s">
        <v>521</v>
      </c>
      <c r="K31" s="55" t="s">
        <v>22</v>
      </c>
      <c r="L31" s="55" t="s">
        <v>19</v>
      </c>
      <c r="M31" s="55" t="s">
        <v>23</v>
      </c>
      <c r="N31" s="56"/>
      <c r="O31" s="51"/>
      <c r="P31" s="51"/>
      <c r="Q31" s="51"/>
      <c r="R31" s="51"/>
      <c r="S31" s="51"/>
      <c r="T31" s="51"/>
      <c r="U31" s="51"/>
      <c r="V31" s="51"/>
      <c r="W31" s="51"/>
      <c r="X31" s="51"/>
      <c r="Y31" s="51"/>
      <c r="Z31" s="51"/>
    </row>
    <row r="32" ht="22.5" customHeight="1">
      <c r="A32" s="46" t="s">
        <v>150</v>
      </c>
      <c r="B32" s="46" t="s">
        <v>535</v>
      </c>
      <c r="C32" s="46" t="s">
        <v>151</v>
      </c>
      <c r="D32" s="52" t="str">
        <f t="shared" si="1"/>
        <v>Equity</v>
      </c>
      <c r="E32" s="46" t="s">
        <v>536</v>
      </c>
      <c r="F32" s="46" t="s">
        <v>153</v>
      </c>
      <c r="G32" s="46" t="s">
        <v>152</v>
      </c>
      <c r="H32" s="46" t="s">
        <v>537</v>
      </c>
      <c r="I32" s="46" t="s">
        <v>538</v>
      </c>
      <c r="J32" s="54" t="s">
        <v>539</v>
      </c>
      <c r="K32" s="55" t="s">
        <v>22</v>
      </c>
      <c r="L32" s="55" t="s">
        <v>19</v>
      </c>
      <c r="M32" s="55" t="s">
        <v>23</v>
      </c>
      <c r="N32" s="61" t="s">
        <v>540</v>
      </c>
      <c r="O32" s="51"/>
      <c r="P32" s="51"/>
      <c r="Q32" s="51"/>
      <c r="R32" s="51"/>
      <c r="S32" s="51"/>
      <c r="T32" s="51"/>
      <c r="U32" s="51"/>
      <c r="V32" s="51"/>
      <c r="W32" s="51"/>
      <c r="X32" s="51"/>
      <c r="Y32" s="51"/>
      <c r="Z32" s="51"/>
    </row>
    <row r="33" ht="22.5" customHeight="1">
      <c r="A33" s="46" t="s">
        <v>150</v>
      </c>
      <c r="B33" s="46" t="s">
        <v>535</v>
      </c>
      <c r="C33" s="46" t="s">
        <v>162</v>
      </c>
      <c r="D33" s="52" t="str">
        <f t="shared" si="1"/>
        <v>Debt</v>
      </c>
      <c r="E33" s="46" t="s">
        <v>536</v>
      </c>
      <c r="F33" s="46" t="s">
        <v>164</v>
      </c>
      <c r="G33" s="46" t="s">
        <v>163</v>
      </c>
      <c r="H33" s="46" t="s">
        <v>537</v>
      </c>
      <c r="I33" s="46" t="s">
        <v>538</v>
      </c>
      <c r="J33" s="54" t="s">
        <v>539</v>
      </c>
      <c r="K33" s="55" t="s">
        <v>22</v>
      </c>
      <c r="L33" s="55" t="s">
        <v>19</v>
      </c>
      <c r="M33" s="55" t="s">
        <v>23</v>
      </c>
      <c r="N33" s="61" t="s">
        <v>540</v>
      </c>
      <c r="O33" s="51"/>
      <c r="P33" s="51"/>
      <c r="Q33" s="51"/>
      <c r="R33" s="51"/>
      <c r="S33" s="51"/>
      <c r="T33" s="51"/>
      <c r="U33" s="51"/>
      <c r="V33" s="51"/>
      <c r="W33" s="51"/>
      <c r="X33" s="51"/>
      <c r="Y33" s="51"/>
      <c r="Z33" s="51"/>
    </row>
    <row r="34" ht="22.5" customHeight="1">
      <c r="A34" s="46" t="s">
        <v>150</v>
      </c>
      <c r="B34" s="46" t="s">
        <v>535</v>
      </c>
      <c r="C34" s="46" t="s">
        <v>165</v>
      </c>
      <c r="D34" s="52" t="str">
        <f t="shared" si="1"/>
        <v>Equity</v>
      </c>
      <c r="E34" s="46" t="s">
        <v>536</v>
      </c>
      <c r="F34" s="46" t="s">
        <v>167</v>
      </c>
      <c r="G34" s="46" t="s">
        <v>528</v>
      </c>
      <c r="H34" s="46" t="s">
        <v>537</v>
      </c>
      <c r="I34" s="46" t="s">
        <v>538</v>
      </c>
      <c r="J34" s="54" t="s">
        <v>539</v>
      </c>
      <c r="K34" s="55" t="s">
        <v>22</v>
      </c>
      <c r="L34" s="55" t="s">
        <v>19</v>
      </c>
      <c r="M34" s="55" t="s">
        <v>23</v>
      </c>
      <c r="N34" s="61" t="s">
        <v>540</v>
      </c>
      <c r="O34" s="51"/>
      <c r="P34" s="51"/>
      <c r="Q34" s="51"/>
      <c r="R34" s="51"/>
      <c r="S34" s="51"/>
      <c r="T34" s="51"/>
      <c r="U34" s="51"/>
      <c r="V34" s="51"/>
      <c r="W34" s="51"/>
      <c r="X34" s="51"/>
      <c r="Y34" s="51"/>
      <c r="Z34" s="51"/>
    </row>
    <row r="35" ht="22.5" customHeight="1">
      <c r="A35" s="46" t="s">
        <v>150</v>
      </c>
      <c r="B35" s="46" t="s">
        <v>535</v>
      </c>
      <c r="C35" s="46" t="s">
        <v>168</v>
      </c>
      <c r="D35" s="52" t="str">
        <f t="shared" si="1"/>
        <v>Equity</v>
      </c>
      <c r="E35" s="46" t="s">
        <v>536</v>
      </c>
      <c r="F35" s="46" t="s">
        <v>170</v>
      </c>
      <c r="G35" s="46" t="s">
        <v>529</v>
      </c>
      <c r="H35" s="46" t="s">
        <v>537</v>
      </c>
      <c r="I35" s="46" t="s">
        <v>538</v>
      </c>
      <c r="J35" s="54" t="s">
        <v>539</v>
      </c>
      <c r="K35" s="55" t="s">
        <v>22</v>
      </c>
      <c r="L35" s="55" t="s">
        <v>19</v>
      </c>
      <c r="M35" s="55" t="s">
        <v>23</v>
      </c>
      <c r="N35" s="61" t="s">
        <v>540</v>
      </c>
      <c r="O35" s="51"/>
      <c r="P35" s="51"/>
      <c r="Q35" s="51"/>
      <c r="R35" s="51"/>
      <c r="S35" s="51"/>
      <c r="T35" s="51"/>
      <c r="U35" s="51"/>
      <c r="V35" s="51"/>
      <c r="W35" s="51"/>
      <c r="X35" s="51"/>
      <c r="Y35" s="51"/>
      <c r="Z35" s="51"/>
    </row>
    <row r="36" ht="22.5" customHeight="1">
      <c r="A36" s="46" t="s">
        <v>150</v>
      </c>
      <c r="B36" s="46" t="s">
        <v>535</v>
      </c>
      <c r="C36" s="46" t="s">
        <v>185</v>
      </c>
      <c r="D36" s="52" t="str">
        <f t="shared" si="1"/>
        <v>Equity</v>
      </c>
      <c r="E36" s="46" t="s">
        <v>536</v>
      </c>
      <c r="F36" s="46" t="s">
        <v>187</v>
      </c>
      <c r="G36" s="46" t="s">
        <v>530</v>
      </c>
      <c r="H36" s="46" t="s">
        <v>537</v>
      </c>
      <c r="I36" s="46" t="s">
        <v>538</v>
      </c>
      <c r="J36" s="54" t="s">
        <v>539</v>
      </c>
      <c r="K36" s="55" t="s">
        <v>22</v>
      </c>
      <c r="L36" s="55" t="s">
        <v>19</v>
      </c>
      <c r="M36" s="55" t="s">
        <v>23</v>
      </c>
      <c r="N36" s="61" t="s">
        <v>540</v>
      </c>
      <c r="O36" s="51"/>
      <c r="P36" s="51"/>
      <c r="Q36" s="51"/>
      <c r="R36" s="51"/>
      <c r="S36" s="51"/>
      <c r="T36" s="51"/>
      <c r="U36" s="51"/>
      <c r="V36" s="51"/>
      <c r="W36" s="51"/>
      <c r="X36" s="51"/>
      <c r="Y36" s="51"/>
      <c r="Z36" s="51"/>
    </row>
    <row r="37" ht="22.5" customHeight="1">
      <c r="A37" s="46" t="s">
        <v>150</v>
      </c>
      <c r="B37" s="46" t="s">
        <v>535</v>
      </c>
      <c r="C37" s="46" t="s">
        <v>197</v>
      </c>
      <c r="D37" s="52" t="str">
        <f t="shared" si="1"/>
        <v>Hybrid</v>
      </c>
      <c r="E37" s="46" t="s">
        <v>536</v>
      </c>
      <c r="F37" s="46" t="s">
        <v>199</v>
      </c>
      <c r="G37" s="46" t="s">
        <v>541</v>
      </c>
      <c r="H37" s="46" t="s">
        <v>537</v>
      </c>
      <c r="I37" s="46" t="s">
        <v>538</v>
      </c>
      <c r="J37" s="54" t="s">
        <v>539</v>
      </c>
      <c r="K37" s="55" t="s">
        <v>22</v>
      </c>
      <c r="L37" s="55" t="s">
        <v>19</v>
      </c>
      <c r="M37" s="55" t="s">
        <v>23</v>
      </c>
      <c r="N37" s="61" t="s">
        <v>540</v>
      </c>
      <c r="O37" s="51"/>
      <c r="P37" s="51"/>
      <c r="Q37" s="51"/>
      <c r="R37" s="51"/>
      <c r="S37" s="51"/>
      <c r="T37" s="51"/>
      <c r="U37" s="51"/>
      <c r="V37" s="51"/>
      <c r="W37" s="51"/>
      <c r="X37" s="51"/>
      <c r="Y37" s="51"/>
      <c r="Z37" s="51"/>
    </row>
    <row r="38" ht="22.5" customHeight="1">
      <c r="A38" s="46" t="s">
        <v>150</v>
      </c>
      <c r="B38" s="46" t="s">
        <v>535</v>
      </c>
      <c r="C38" s="46" t="s">
        <v>206</v>
      </c>
      <c r="D38" s="52" t="str">
        <f t="shared" si="1"/>
        <v>Equity</v>
      </c>
      <c r="E38" s="46" t="s">
        <v>536</v>
      </c>
      <c r="F38" s="46" t="s">
        <v>208</v>
      </c>
      <c r="G38" s="46" t="s">
        <v>542</v>
      </c>
      <c r="H38" s="46" t="s">
        <v>537</v>
      </c>
      <c r="I38" s="46" t="s">
        <v>538</v>
      </c>
      <c r="J38" s="54" t="s">
        <v>539</v>
      </c>
      <c r="K38" s="55" t="s">
        <v>22</v>
      </c>
      <c r="L38" s="55" t="s">
        <v>19</v>
      </c>
      <c r="M38" s="55" t="s">
        <v>23</v>
      </c>
      <c r="N38" s="61" t="s">
        <v>540</v>
      </c>
      <c r="O38" s="51"/>
      <c r="P38" s="51"/>
      <c r="Q38" s="51"/>
      <c r="R38" s="51"/>
      <c r="S38" s="51"/>
      <c r="T38" s="51"/>
      <c r="U38" s="51"/>
      <c r="V38" s="51"/>
      <c r="W38" s="51"/>
      <c r="X38" s="51"/>
      <c r="Y38" s="51"/>
      <c r="Z38" s="51"/>
    </row>
    <row r="39" ht="22.5" customHeight="1">
      <c r="A39" s="46" t="s">
        <v>150</v>
      </c>
      <c r="B39" s="46" t="s">
        <v>535</v>
      </c>
      <c r="C39" s="46" t="s">
        <v>66</v>
      </c>
      <c r="D39" s="52" t="str">
        <f t="shared" si="1"/>
        <v>Equity</v>
      </c>
      <c r="E39" s="46" t="s">
        <v>536</v>
      </c>
      <c r="F39" s="46" t="s">
        <v>184</v>
      </c>
      <c r="G39" s="46" t="s">
        <v>543</v>
      </c>
      <c r="H39" s="46" t="s">
        <v>537</v>
      </c>
      <c r="I39" s="46" t="s">
        <v>538</v>
      </c>
      <c r="J39" s="54" t="s">
        <v>539</v>
      </c>
      <c r="K39" s="55" t="s">
        <v>22</v>
      </c>
      <c r="L39" s="55" t="s">
        <v>19</v>
      </c>
      <c r="M39" s="55" t="s">
        <v>23</v>
      </c>
      <c r="N39" s="61" t="s">
        <v>540</v>
      </c>
      <c r="O39" s="51"/>
      <c r="P39" s="51"/>
      <c r="Q39" s="51"/>
      <c r="R39" s="51"/>
      <c r="S39" s="51"/>
      <c r="T39" s="51"/>
      <c r="U39" s="51"/>
      <c r="V39" s="51"/>
      <c r="W39" s="51"/>
      <c r="X39" s="51"/>
      <c r="Y39" s="51"/>
      <c r="Z39" s="51"/>
    </row>
    <row r="40" ht="22.5" customHeight="1">
      <c r="A40" s="46" t="s">
        <v>150</v>
      </c>
      <c r="B40" s="46" t="s">
        <v>535</v>
      </c>
      <c r="C40" s="46" t="s">
        <v>209</v>
      </c>
      <c r="D40" s="52" t="str">
        <f t="shared" si="1"/>
        <v>Equity</v>
      </c>
      <c r="E40" s="46" t="s">
        <v>536</v>
      </c>
      <c r="F40" s="46" t="s">
        <v>544</v>
      </c>
      <c r="G40" s="46" t="s">
        <v>545</v>
      </c>
      <c r="H40" s="46" t="s">
        <v>537</v>
      </c>
      <c r="I40" s="46" t="s">
        <v>538</v>
      </c>
      <c r="J40" s="54" t="s">
        <v>539</v>
      </c>
      <c r="K40" s="55" t="s">
        <v>22</v>
      </c>
      <c r="L40" s="55" t="s">
        <v>19</v>
      </c>
      <c r="M40" s="55" t="s">
        <v>23</v>
      </c>
      <c r="N40" s="61" t="s">
        <v>540</v>
      </c>
      <c r="O40" s="51"/>
      <c r="P40" s="51"/>
      <c r="Q40" s="51"/>
      <c r="R40" s="51"/>
      <c r="S40" s="51"/>
      <c r="T40" s="51"/>
      <c r="U40" s="51"/>
      <c r="V40" s="51"/>
      <c r="W40" s="51"/>
      <c r="X40" s="51"/>
      <c r="Y40" s="51"/>
      <c r="Z40" s="51"/>
    </row>
    <row r="41" ht="22.5" customHeight="1">
      <c r="A41" s="46" t="s">
        <v>150</v>
      </c>
      <c r="B41" s="46" t="s">
        <v>535</v>
      </c>
      <c r="C41" s="46" t="s">
        <v>532</v>
      </c>
      <c r="D41" s="52" t="str">
        <f t="shared" si="1"/>
        <v>Equity</v>
      </c>
      <c r="E41" s="46" t="s">
        <v>536</v>
      </c>
      <c r="F41" s="46" t="s">
        <v>546</v>
      </c>
      <c r="G41" s="46" t="s">
        <v>547</v>
      </c>
      <c r="H41" s="46" t="s">
        <v>537</v>
      </c>
      <c r="I41" s="46" t="s">
        <v>538</v>
      </c>
      <c r="J41" s="54" t="s">
        <v>539</v>
      </c>
      <c r="K41" s="55" t="s">
        <v>22</v>
      </c>
      <c r="L41" s="55" t="s">
        <v>19</v>
      </c>
      <c r="M41" s="55" t="s">
        <v>23</v>
      </c>
      <c r="N41" s="61" t="s">
        <v>540</v>
      </c>
      <c r="O41" s="51"/>
      <c r="P41" s="51"/>
      <c r="Q41" s="51"/>
      <c r="R41" s="51"/>
      <c r="S41" s="51"/>
      <c r="T41" s="51"/>
      <c r="U41" s="51"/>
      <c r="V41" s="51"/>
      <c r="W41" s="51"/>
      <c r="X41" s="51"/>
      <c r="Y41" s="51"/>
      <c r="Z41" s="51"/>
    </row>
    <row r="42" ht="22.5" customHeight="1">
      <c r="A42" s="46" t="s">
        <v>150</v>
      </c>
      <c r="B42" s="46" t="s">
        <v>535</v>
      </c>
      <c r="C42" s="46" t="s">
        <v>548</v>
      </c>
      <c r="D42" s="52" t="str">
        <f t="shared" si="1"/>
        <v>Equity</v>
      </c>
      <c r="E42" s="46" t="s">
        <v>536</v>
      </c>
      <c r="F42" s="46" t="s">
        <v>549</v>
      </c>
      <c r="G42" s="46" t="s">
        <v>550</v>
      </c>
      <c r="H42" s="46" t="s">
        <v>537</v>
      </c>
      <c r="I42" s="46" t="s">
        <v>538</v>
      </c>
      <c r="J42" s="54" t="s">
        <v>539</v>
      </c>
      <c r="K42" s="55" t="s">
        <v>22</v>
      </c>
      <c r="L42" s="55" t="s">
        <v>19</v>
      </c>
      <c r="M42" s="55" t="s">
        <v>23</v>
      </c>
      <c r="N42" s="61" t="s">
        <v>540</v>
      </c>
      <c r="O42" s="51"/>
      <c r="P42" s="51"/>
      <c r="Q42" s="51"/>
      <c r="R42" s="51"/>
      <c r="S42" s="51"/>
      <c r="T42" s="51"/>
      <c r="U42" s="51"/>
      <c r="V42" s="51"/>
      <c r="W42" s="51"/>
      <c r="X42" s="51"/>
      <c r="Y42" s="51"/>
      <c r="Z42" s="51"/>
    </row>
    <row r="43" ht="22.5" customHeight="1">
      <c r="A43" s="46" t="s">
        <v>150</v>
      </c>
      <c r="B43" s="46" t="s">
        <v>535</v>
      </c>
      <c r="C43" s="46" t="s">
        <v>551</v>
      </c>
      <c r="D43" s="52" t="str">
        <f t="shared" si="1"/>
        <v>Hybrid</v>
      </c>
      <c r="E43" s="46" t="s">
        <v>536</v>
      </c>
      <c r="F43" s="46" t="s">
        <v>552</v>
      </c>
      <c r="G43" s="46" t="s">
        <v>553</v>
      </c>
      <c r="H43" s="46" t="s">
        <v>537</v>
      </c>
      <c r="I43" s="46" t="s">
        <v>538</v>
      </c>
      <c r="J43" s="54" t="s">
        <v>539</v>
      </c>
      <c r="K43" s="55" t="s">
        <v>22</v>
      </c>
      <c r="L43" s="55" t="s">
        <v>19</v>
      </c>
      <c r="M43" s="55" t="s">
        <v>23</v>
      </c>
      <c r="N43" s="61" t="s">
        <v>540</v>
      </c>
      <c r="O43" s="51"/>
      <c r="P43" s="51"/>
      <c r="Q43" s="51"/>
      <c r="R43" s="51"/>
      <c r="S43" s="51"/>
      <c r="T43" s="51"/>
      <c r="U43" s="51"/>
      <c r="V43" s="51"/>
      <c r="W43" s="51"/>
      <c r="X43" s="51"/>
      <c r="Y43" s="51"/>
      <c r="Z43" s="51"/>
    </row>
    <row r="44" ht="22.5" customHeight="1">
      <c r="A44" s="46" t="s">
        <v>150</v>
      </c>
      <c r="B44" s="46" t="s">
        <v>554</v>
      </c>
      <c r="C44" s="46" t="s">
        <v>555</v>
      </c>
      <c r="D44" s="52" t="str">
        <f t="shared" si="1"/>
        <v>Equity</v>
      </c>
      <c r="E44" s="46" t="s">
        <v>556</v>
      </c>
      <c r="F44" s="46" t="s">
        <v>557</v>
      </c>
      <c r="G44" s="46" t="s">
        <v>558</v>
      </c>
      <c r="H44" s="46" t="s">
        <v>360</v>
      </c>
      <c r="I44" s="46" t="s">
        <v>559</v>
      </c>
      <c r="J44" s="54" t="s">
        <v>503</v>
      </c>
      <c r="K44" s="55" t="s">
        <v>22</v>
      </c>
      <c r="L44" s="55" t="s">
        <v>19</v>
      </c>
      <c r="M44" s="55" t="s">
        <v>23</v>
      </c>
      <c r="N44" s="61"/>
      <c r="O44" s="51"/>
      <c r="P44" s="51"/>
      <c r="Q44" s="51"/>
      <c r="R44" s="51"/>
      <c r="S44" s="51"/>
      <c r="T44" s="51"/>
      <c r="U44" s="51"/>
      <c r="V44" s="51"/>
      <c r="W44" s="51"/>
      <c r="X44" s="51"/>
      <c r="Y44" s="51"/>
      <c r="Z44" s="51"/>
    </row>
    <row r="45" ht="22.5" customHeight="1">
      <c r="A45" s="46" t="s">
        <v>150</v>
      </c>
      <c r="B45" s="46" t="s">
        <v>554</v>
      </c>
      <c r="C45" s="46" t="s">
        <v>151</v>
      </c>
      <c r="D45" s="52" t="str">
        <f t="shared" si="1"/>
        <v>Equity</v>
      </c>
      <c r="E45" s="46" t="s">
        <v>556</v>
      </c>
      <c r="F45" s="46" t="s">
        <v>153</v>
      </c>
      <c r="G45" s="46" t="s">
        <v>152</v>
      </c>
      <c r="H45" s="46" t="s">
        <v>360</v>
      </c>
      <c r="I45" s="46" t="s">
        <v>559</v>
      </c>
      <c r="J45" s="55" t="s">
        <v>504</v>
      </c>
      <c r="K45" s="55" t="s">
        <v>22</v>
      </c>
      <c r="L45" s="55" t="s">
        <v>19</v>
      </c>
      <c r="M45" s="55" t="s">
        <v>23</v>
      </c>
      <c r="N45" s="61"/>
      <c r="O45" s="51"/>
      <c r="P45" s="51"/>
      <c r="Q45" s="51"/>
      <c r="R45" s="51"/>
      <c r="S45" s="51"/>
      <c r="T45" s="51"/>
      <c r="U45" s="51"/>
      <c r="V45" s="51"/>
      <c r="W45" s="51"/>
      <c r="X45" s="51"/>
      <c r="Y45" s="51"/>
      <c r="Z45" s="51"/>
    </row>
    <row r="46" ht="22.5" customHeight="1">
      <c r="A46" s="46" t="s">
        <v>150</v>
      </c>
      <c r="B46" s="46" t="s">
        <v>554</v>
      </c>
      <c r="C46" s="46" t="s">
        <v>155</v>
      </c>
      <c r="D46" s="52" t="str">
        <f t="shared" si="1"/>
        <v>Equity</v>
      </c>
      <c r="E46" s="46" t="s">
        <v>556</v>
      </c>
      <c r="F46" s="46" t="s">
        <v>157</v>
      </c>
      <c r="G46" s="46" t="s">
        <v>156</v>
      </c>
      <c r="H46" s="46" t="s">
        <v>360</v>
      </c>
      <c r="I46" s="46" t="s">
        <v>559</v>
      </c>
      <c r="J46" s="55" t="s">
        <v>505</v>
      </c>
      <c r="K46" s="55" t="s">
        <v>22</v>
      </c>
      <c r="L46" s="55" t="s">
        <v>19</v>
      </c>
      <c r="M46" s="55" t="s">
        <v>23</v>
      </c>
      <c r="N46" s="56"/>
      <c r="O46" s="51"/>
      <c r="P46" s="51"/>
      <c r="Q46" s="51"/>
      <c r="R46" s="51"/>
      <c r="S46" s="51"/>
      <c r="T46" s="51"/>
      <c r="U46" s="51"/>
      <c r="V46" s="51"/>
      <c r="W46" s="51"/>
      <c r="X46" s="51"/>
      <c r="Y46" s="51"/>
      <c r="Z46" s="51"/>
    </row>
    <row r="47" ht="22.5" customHeight="1">
      <c r="A47" s="46" t="s">
        <v>150</v>
      </c>
      <c r="B47" s="46" t="s">
        <v>554</v>
      </c>
      <c r="C47" s="46" t="s">
        <v>36</v>
      </c>
      <c r="D47" s="52" t="str">
        <f t="shared" si="1"/>
        <v>Equity</v>
      </c>
      <c r="E47" s="46" t="s">
        <v>556</v>
      </c>
      <c r="F47" s="46" t="s">
        <v>172</v>
      </c>
      <c r="G47" s="46" t="s">
        <v>171</v>
      </c>
      <c r="H47" s="46" t="s">
        <v>360</v>
      </c>
      <c r="I47" s="46" t="s">
        <v>559</v>
      </c>
      <c r="J47" s="55" t="s">
        <v>506</v>
      </c>
      <c r="K47" s="55" t="s">
        <v>22</v>
      </c>
      <c r="L47" s="55" t="s">
        <v>19</v>
      </c>
      <c r="M47" s="55" t="s">
        <v>23</v>
      </c>
      <c r="N47" s="56"/>
      <c r="O47" s="51"/>
      <c r="P47" s="51"/>
      <c r="Q47" s="51"/>
      <c r="R47" s="51"/>
      <c r="S47" s="51"/>
      <c r="T47" s="51"/>
      <c r="U47" s="51"/>
      <c r="V47" s="51"/>
      <c r="W47" s="51"/>
      <c r="X47" s="51"/>
      <c r="Y47" s="51"/>
      <c r="Z47" s="51"/>
    </row>
    <row r="48" ht="22.5" customHeight="1">
      <c r="A48" s="46" t="s">
        <v>150</v>
      </c>
      <c r="B48" s="46" t="s">
        <v>554</v>
      </c>
      <c r="C48" s="46" t="s">
        <v>158</v>
      </c>
      <c r="D48" s="52" t="str">
        <f t="shared" si="1"/>
        <v>Hybrid</v>
      </c>
      <c r="E48" s="46" t="s">
        <v>556</v>
      </c>
      <c r="F48" s="46" t="s">
        <v>160</v>
      </c>
      <c r="G48" s="46" t="s">
        <v>159</v>
      </c>
      <c r="H48" s="46" t="s">
        <v>360</v>
      </c>
      <c r="I48" s="46" t="s">
        <v>559</v>
      </c>
      <c r="J48" s="55" t="s">
        <v>507</v>
      </c>
      <c r="K48" s="55" t="s">
        <v>22</v>
      </c>
      <c r="L48" s="55" t="s">
        <v>19</v>
      </c>
      <c r="M48" s="55" t="s">
        <v>23</v>
      </c>
      <c r="N48" s="56"/>
      <c r="O48" s="51"/>
      <c r="P48" s="51"/>
      <c r="Q48" s="51"/>
      <c r="R48" s="51"/>
      <c r="S48" s="51"/>
      <c r="T48" s="51"/>
      <c r="U48" s="51"/>
      <c r="V48" s="51"/>
      <c r="W48" s="51"/>
      <c r="X48" s="51"/>
      <c r="Y48" s="51"/>
      <c r="Z48" s="51"/>
    </row>
    <row r="49" ht="22.5" customHeight="1">
      <c r="A49" s="46" t="s">
        <v>150</v>
      </c>
      <c r="B49" s="46" t="s">
        <v>554</v>
      </c>
      <c r="C49" s="46" t="s">
        <v>162</v>
      </c>
      <c r="D49" s="52" t="str">
        <f t="shared" si="1"/>
        <v>Debt</v>
      </c>
      <c r="E49" s="46" t="s">
        <v>556</v>
      </c>
      <c r="F49" s="46" t="s">
        <v>164</v>
      </c>
      <c r="G49" s="46" t="s">
        <v>163</v>
      </c>
      <c r="H49" s="46" t="s">
        <v>360</v>
      </c>
      <c r="I49" s="46" t="s">
        <v>559</v>
      </c>
      <c r="J49" s="55" t="s">
        <v>508</v>
      </c>
      <c r="K49" s="55" t="s">
        <v>22</v>
      </c>
      <c r="L49" s="55" t="s">
        <v>19</v>
      </c>
      <c r="M49" s="55" t="s">
        <v>23</v>
      </c>
      <c r="N49" s="56"/>
      <c r="O49" s="51"/>
      <c r="P49" s="51"/>
      <c r="Q49" s="51"/>
      <c r="R49" s="51"/>
      <c r="S49" s="51"/>
      <c r="T49" s="51"/>
      <c r="U49" s="51"/>
      <c r="V49" s="51"/>
      <c r="W49" s="51"/>
      <c r="X49" s="51"/>
      <c r="Y49" s="51"/>
      <c r="Z49" s="51"/>
    </row>
    <row r="50" ht="22.5" customHeight="1">
      <c r="A50" s="46" t="s">
        <v>150</v>
      </c>
      <c r="B50" s="46" t="s">
        <v>554</v>
      </c>
      <c r="C50" s="46" t="s">
        <v>165</v>
      </c>
      <c r="D50" s="52" t="str">
        <f t="shared" si="1"/>
        <v>Equity</v>
      </c>
      <c r="E50" s="46" t="s">
        <v>556</v>
      </c>
      <c r="F50" s="46" t="s">
        <v>167</v>
      </c>
      <c r="G50" s="46" t="s">
        <v>560</v>
      </c>
      <c r="H50" s="46" t="s">
        <v>360</v>
      </c>
      <c r="I50" s="46" t="s">
        <v>559</v>
      </c>
      <c r="J50" s="55" t="s">
        <v>509</v>
      </c>
      <c r="K50" s="55" t="s">
        <v>22</v>
      </c>
      <c r="L50" s="55" t="s">
        <v>19</v>
      </c>
      <c r="M50" s="55" t="s">
        <v>23</v>
      </c>
      <c r="N50" s="56"/>
      <c r="O50" s="51"/>
      <c r="P50" s="51"/>
      <c r="Q50" s="51"/>
      <c r="R50" s="51"/>
      <c r="S50" s="51"/>
      <c r="T50" s="51"/>
      <c r="U50" s="51"/>
      <c r="V50" s="51"/>
      <c r="W50" s="51"/>
      <c r="X50" s="51"/>
      <c r="Y50" s="51"/>
      <c r="Z50" s="51"/>
    </row>
    <row r="51" ht="22.5" customHeight="1">
      <c r="A51" s="46" t="s">
        <v>150</v>
      </c>
      <c r="B51" s="46" t="s">
        <v>554</v>
      </c>
      <c r="C51" s="46" t="s">
        <v>168</v>
      </c>
      <c r="D51" s="52" t="str">
        <f t="shared" si="1"/>
        <v>Equity</v>
      </c>
      <c r="E51" s="46" t="s">
        <v>556</v>
      </c>
      <c r="F51" s="46" t="s">
        <v>170</v>
      </c>
      <c r="G51" s="46" t="s">
        <v>561</v>
      </c>
      <c r="H51" s="46" t="s">
        <v>360</v>
      </c>
      <c r="I51" s="46" t="s">
        <v>559</v>
      </c>
      <c r="J51" s="55" t="s">
        <v>510</v>
      </c>
      <c r="K51" s="55" t="s">
        <v>22</v>
      </c>
      <c r="L51" s="55" t="s">
        <v>19</v>
      </c>
      <c r="M51" s="55" t="s">
        <v>23</v>
      </c>
      <c r="N51" s="56"/>
      <c r="O51" s="51"/>
      <c r="P51" s="51"/>
      <c r="Q51" s="51"/>
      <c r="R51" s="51"/>
      <c r="S51" s="51"/>
      <c r="T51" s="51"/>
      <c r="U51" s="51"/>
      <c r="V51" s="51"/>
      <c r="W51" s="51"/>
      <c r="X51" s="51"/>
      <c r="Y51" s="51"/>
      <c r="Z51" s="51"/>
    </row>
    <row r="52" ht="22.5" customHeight="1">
      <c r="A52" s="46" t="s">
        <v>150</v>
      </c>
      <c r="B52" s="46" t="s">
        <v>554</v>
      </c>
      <c r="C52" s="46" t="s">
        <v>185</v>
      </c>
      <c r="D52" s="52" t="str">
        <f t="shared" si="1"/>
        <v>Equity</v>
      </c>
      <c r="E52" s="46" t="s">
        <v>556</v>
      </c>
      <c r="F52" s="46" t="s">
        <v>187</v>
      </c>
      <c r="G52" s="46" t="s">
        <v>530</v>
      </c>
      <c r="H52" s="46" t="s">
        <v>360</v>
      </c>
      <c r="I52" s="46" t="s">
        <v>559</v>
      </c>
      <c r="J52" s="55" t="s">
        <v>511</v>
      </c>
      <c r="K52" s="55" t="s">
        <v>22</v>
      </c>
      <c r="L52" s="55" t="s">
        <v>19</v>
      </c>
      <c r="M52" s="55" t="s">
        <v>23</v>
      </c>
      <c r="N52" s="56"/>
      <c r="O52" s="51"/>
      <c r="P52" s="51"/>
      <c r="Q52" s="51"/>
      <c r="R52" s="51"/>
      <c r="S52" s="51"/>
      <c r="T52" s="51"/>
      <c r="U52" s="51"/>
      <c r="V52" s="51"/>
      <c r="W52" s="51"/>
      <c r="X52" s="51"/>
      <c r="Y52" s="51"/>
      <c r="Z52" s="51"/>
    </row>
    <row r="53" ht="22.5" customHeight="1">
      <c r="A53" s="46" t="s">
        <v>150</v>
      </c>
      <c r="B53" s="46" t="s">
        <v>554</v>
      </c>
      <c r="C53" s="46" t="s">
        <v>197</v>
      </c>
      <c r="D53" s="52" t="str">
        <f t="shared" si="1"/>
        <v>Hybrid</v>
      </c>
      <c r="E53" s="46" t="s">
        <v>556</v>
      </c>
      <c r="F53" s="46" t="s">
        <v>199</v>
      </c>
      <c r="G53" s="46" t="s">
        <v>562</v>
      </c>
      <c r="H53" s="46" t="s">
        <v>360</v>
      </c>
      <c r="I53" s="46" t="s">
        <v>559</v>
      </c>
      <c r="J53" s="55" t="s">
        <v>512</v>
      </c>
      <c r="K53" s="55" t="s">
        <v>22</v>
      </c>
      <c r="L53" s="55" t="s">
        <v>19</v>
      </c>
      <c r="M53" s="55" t="s">
        <v>23</v>
      </c>
      <c r="N53" s="56"/>
      <c r="O53" s="51"/>
      <c r="P53" s="51"/>
      <c r="Q53" s="51"/>
      <c r="R53" s="51"/>
      <c r="S53" s="51"/>
      <c r="T53" s="51"/>
      <c r="U53" s="51"/>
      <c r="V53" s="51"/>
      <c r="W53" s="51"/>
      <c r="X53" s="51"/>
      <c r="Y53" s="51"/>
      <c r="Z53" s="51"/>
    </row>
    <row r="54" ht="22.5" customHeight="1">
      <c r="A54" s="46" t="s">
        <v>150</v>
      </c>
      <c r="B54" s="46" t="s">
        <v>554</v>
      </c>
      <c r="C54" s="46" t="s">
        <v>200</v>
      </c>
      <c r="D54" s="52" t="str">
        <f t="shared" si="1"/>
        <v>Equity</v>
      </c>
      <c r="E54" s="46" t="s">
        <v>556</v>
      </c>
      <c r="F54" s="46" t="s">
        <v>202</v>
      </c>
      <c r="G54" s="46" t="s">
        <v>563</v>
      </c>
      <c r="H54" s="46" t="s">
        <v>360</v>
      </c>
      <c r="I54" s="46" t="s">
        <v>559</v>
      </c>
      <c r="J54" s="55" t="s">
        <v>513</v>
      </c>
      <c r="K54" s="55" t="s">
        <v>22</v>
      </c>
      <c r="L54" s="55" t="s">
        <v>19</v>
      </c>
      <c r="M54" s="55" t="s">
        <v>23</v>
      </c>
      <c r="N54" s="56"/>
      <c r="O54" s="51"/>
      <c r="P54" s="51"/>
      <c r="Q54" s="51"/>
      <c r="R54" s="51"/>
      <c r="S54" s="51"/>
      <c r="T54" s="51"/>
      <c r="U54" s="51"/>
      <c r="V54" s="51"/>
      <c r="W54" s="51"/>
      <c r="X54" s="51"/>
      <c r="Y54" s="51"/>
      <c r="Z54" s="51"/>
    </row>
    <row r="55" ht="22.5" customHeight="1">
      <c r="A55" s="46" t="s">
        <v>150</v>
      </c>
      <c r="B55" s="46" t="s">
        <v>554</v>
      </c>
      <c r="C55" s="46" t="s">
        <v>203</v>
      </c>
      <c r="D55" s="52" t="str">
        <f t="shared" si="1"/>
        <v>Equity</v>
      </c>
      <c r="E55" s="46" t="s">
        <v>556</v>
      </c>
      <c r="F55" s="46" t="s">
        <v>205</v>
      </c>
      <c r="G55" s="46" t="s">
        <v>564</v>
      </c>
      <c r="H55" s="46" t="s">
        <v>360</v>
      </c>
      <c r="I55" s="46" t="s">
        <v>559</v>
      </c>
      <c r="J55" s="55" t="s">
        <v>514</v>
      </c>
      <c r="K55" s="55" t="s">
        <v>22</v>
      </c>
      <c r="L55" s="55" t="s">
        <v>19</v>
      </c>
      <c r="M55" s="55" t="s">
        <v>23</v>
      </c>
      <c r="N55" s="56"/>
      <c r="O55" s="51"/>
      <c r="P55" s="51"/>
      <c r="Q55" s="51"/>
      <c r="R55" s="51"/>
      <c r="S55" s="51"/>
      <c r="T55" s="51"/>
      <c r="U55" s="51"/>
      <c r="V55" s="51"/>
      <c r="W55" s="51"/>
      <c r="X55" s="51"/>
      <c r="Y55" s="51"/>
      <c r="Z55" s="51"/>
    </row>
    <row r="56" ht="22.5" customHeight="1">
      <c r="A56" s="46" t="s">
        <v>150</v>
      </c>
      <c r="B56" s="46" t="s">
        <v>554</v>
      </c>
      <c r="C56" s="46" t="s">
        <v>206</v>
      </c>
      <c r="D56" s="52" t="str">
        <f t="shared" si="1"/>
        <v>Equity</v>
      </c>
      <c r="E56" s="46" t="s">
        <v>556</v>
      </c>
      <c r="F56" s="46" t="s">
        <v>208</v>
      </c>
      <c r="G56" s="46" t="s">
        <v>565</v>
      </c>
      <c r="H56" s="46" t="s">
        <v>360</v>
      </c>
      <c r="I56" s="46" t="s">
        <v>559</v>
      </c>
      <c r="J56" s="55" t="s">
        <v>515</v>
      </c>
      <c r="K56" s="55" t="s">
        <v>22</v>
      </c>
      <c r="L56" s="55" t="s">
        <v>19</v>
      </c>
      <c r="M56" s="55" t="s">
        <v>23</v>
      </c>
      <c r="N56" s="56"/>
      <c r="O56" s="51"/>
      <c r="P56" s="51"/>
      <c r="Q56" s="51"/>
      <c r="R56" s="51"/>
      <c r="S56" s="51"/>
      <c r="T56" s="51"/>
      <c r="U56" s="51"/>
      <c r="V56" s="51"/>
      <c r="W56" s="51"/>
      <c r="X56" s="51"/>
      <c r="Y56" s="51"/>
      <c r="Z56" s="51"/>
    </row>
    <row r="57" ht="22.5" customHeight="1">
      <c r="A57" s="46" t="s">
        <v>150</v>
      </c>
      <c r="B57" s="46" t="s">
        <v>554</v>
      </c>
      <c r="C57" s="46" t="s">
        <v>209</v>
      </c>
      <c r="D57" s="52" t="str">
        <f t="shared" si="1"/>
        <v>Equity</v>
      </c>
      <c r="E57" s="46" t="s">
        <v>556</v>
      </c>
      <c r="F57" s="46" t="s">
        <v>544</v>
      </c>
      <c r="G57" s="46" t="s">
        <v>566</v>
      </c>
      <c r="H57" s="46" t="s">
        <v>360</v>
      </c>
      <c r="I57" s="46" t="s">
        <v>559</v>
      </c>
      <c r="J57" s="55" t="s">
        <v>516</v>
      </c>
      <c r="K57" s="55" t="s">
        <v>22</v>
      </c>
      <c r="L57" s="55" t="s">
        <v>19</v>
      </c>
      <c r="M57" s="55" t="s">
        <v>23</v>
      </c>
      <c r="N57" s="56"/>
      <c r="O57" s="51"/>
      <c r="P57" s="51"/>
      <c r="Q57" s="51"/>
      <c r="R57" s="51"/>
      <c r="S57" s="51"/>
      <c r="T57" s="51"/>
      <c r="U57" s="51"/>
      <c r="V57" s="51"/>
      <c r="W57" s="51"/>
      <c r="X57" s="51"/>
      <c r="Y57" s="51"/>
      <c r="Z57" s="51"/>
    </row>
    <row r="58" ht="22.5" customHeight="1">
      <c r="A58" s="46" t="s">
        <v>150</v>
      </c>
      <c r="B58" s="46" t="s">
        <v>554</v>
      </c>
      <c r="C58" s="46" t="s">
        <v>532</v>
      </c>
      <c r="D58" s="52" t="str">
        <f t="shared" si="1"/>
        <v>Equity</v>
      </c>
      <c r="E58" s="46" t="s">
        <v>556</v>
      </c>
      <c r="F58" s="46" t="s">
        <v>567</v>
      </c>
      <c r="G58" s="46" t="s">
        <v>568</v>
      </c>
      <c r="H58" s="46" t="s">
        <v>360</v>
      </c>
      <c r="I58" s="46" t="s">
        <v>559</v>
      </c>
      <c r="J58" s="55" t="s">
        <v>517</v>
      </c>
      <c r="K58" s="55" t="s">
        <v>22</v>
      </c>
      <c r="L58" s="55" t="s">
        <v>19</v>
      </c>
      <c r="M58" s="55" t="s">
        <v>23</v>
      </c>
      <c r="N58" s="56"/>
      <c r="O58" s="51"/>
      <c r="P58" s="51"/>
      <c r="Q58" s="51"/>
      <c r="R58" s="51"/>
      <c r="S58" s="51"/>
      <c r="T58" s="51"/>
      <c r="U58" s="51"/>
      <c r="V58" s="51"/>
      <c r="W58" s="51"/>
      <c r="X58" s="51"/>
      <c r="Y58" s="51"/>
      <c r="Z58" s="51"/>
    </row>
  </sheetData>
  <hyperlinks>
    <hyperlink r:id="rId1" location="page=47" ref="J2"/>
    <hyperlink r:id="rId2" location="page=56" ref="J22"/>
    <hyperlink r:id="rId3" ref="J32"/>
    <hyperlink r:id="rId4" ref="J33"/>
    <hyperlink r:id="rId5" ref="J34"/>
    <hyperlink r:id="rId6" ref="J35"/>
    <hyperlink r:id="rId7" ref="J36"/>
    <hyperlink r:id="rId8" ref="J37"/>
    <hyperlink r:id="rId9" ref="J38"/>
    <hyperlink r:id="rId10" ref="J39"/>
    <hyperlink r:id="rId11" ref="J40"/>
    <hyperlink r:id="rId12" ref="J41"/>
    <hyperlink r:id="rId13" ref="J42"/>
    <hyperlink r:id="rId14" ref="J43"/>
    <hyperlink r:id="rId15" location="page=47" ref="J44"/>
  </hyperlinks>
  <drawing r:id="rId16"/>
  <tableParts count="1">
    <tablePart r:id="rId18"/>
  </tableParts>
</worksheet>
</file>